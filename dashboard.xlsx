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37515bbd2deb3e/Área de Trabalho/escolar/MI/"/>
    </mc:Choice>
  </mc:AlternateContent>
  <xr:revisionPtr revIDLastSave="329" documentId="8_{B96F947C-7163-4619-BEBD-2481EB521818}" xr6:coauthVersionLast="47" xr6:coauthVersionMax="47" xr10:uidLastSave="{88617D92-47A8-4D37-A36A-ED92C474E89D}"/>
  <bookViews>
    <workbookView xWindow="0" yWindow="0" windowWidth="20490" windowHeight="10920" xr2:uid="{5DD6F71A-5CFC-44CB-860F-E7243FEE7AF5}"/>
  </bookViews>
  <sheets>
    <sheet name="Dashboard" sheetId="6" r:id="rId1"/>
    <sheet name="data_dimension" sheetId="7" r:id="rId2"/>
    <sheet name="corretor_dimension" sheetId="9" r:id="rId3"/>
    <sheet name="trans_venda_fact" sheetId="14" r:id="rId4"/>
    <sheet name="cliente_dimension" sheetId="8" r:id="rId5"/>
    <sheet name="corretor_dimension (2)" sheetId="10" r:id="rId6"/>
    <sheet name="imovel_dimension" sheetId="11" r:id="rId7"/>
    <sheet name="receita_agregada_fact" sheetId="12" r:id="rId8"/>
    <sheet name="cliente_dimension (2)" sheetId="13" r:id="rId9"/>
  </sheets>
  <definedNames>
    <definedName name="DadosExternos_1" localSheetId="5" hidden="1">'corretor_dimension (2)'!$A$1:$H$11</definedName>
    <definedName name="DadosExternos_1" localSheetId="1" hidden="1">data_dimension!$A$1:$I$27</definedName>
    <definedName name="DadosExternos_1" localSheetId="3" hidden="1">trans_venda_fact!$A$1:$M$77</definedName>
    <definedName name="DadosExternos_2" localSheetId="6" hidden="1">imovel_dimension!$A$1:$K$31</definedName>
    <definedName name="DadosExternos_3" localSheetId="7" hidden="1">'receita_agregada_fact'!$A$1:$D$29</definedName>
    <definedName name="DadosExternos_4" localSheetId="8" hidden="1">'cliente_dimension (2)'!$A$1:$G$31</definedName>
    <definedName name="SegmentaçãodeDados_cl_sk">#N/A</definedName>
    <definedName name="SegmentaçãodeDados_cor_sk">#N/A</definedName>
    <definedName name="SegmentaçãodeDados_dt_data_completa__Mês">#N/A</definedName>
  </definedNames>
  <calcPr calcId="191029"/>
  <pivotCaches>
    <pivotCache cacheId="808" r:id="rId10"/>
    <pivotCache cacheId="1111" r:id="rId11"/>
    <pivotCache cacheId="1114" r:id="rId12"/>
  </pivotCaches>
  <extLst>
    <ext xmlns:x14="http://schemas.microsoft.com/office/spreadsheetml/2009/9/main" uri="{876F7934-8845-4945-9796-88D515C7AA90}">
      <x14:pivotCaches>
        <pivotCache cacheId="426" r:id="rId13"/>
        <pivotCache cacheId="722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711" r:id="rId18"/>
        <pivotCache cacheId="740" r:id="rId19"/>
        <pivotCache cacheId="743" r:id="rId20"/>
        <pivotCache cacheId="746" r:id="rId21"/>
        <pivotCache cacheId="1108" r:id="rId22"/>
      </x15:pivotCaches>
    </ext>
    <ext xmlns:x15="http://schemas.microsoft.com/office/spreadsheetml/2010/11/main" uri="{983426D0-5260-488c-9760-48F4B6AC55F4}">
      <x15:pivotTableReferences>
        <x15:pivotTableReference r:id="rId23"/>
        <x15:pivotTableReference r:id="rId24"/>
        <x15:pivotTableReference r:id="rId25"/>
        <x15:pivotTableReference r:id="rId26"/>
        <x15:pivotTableReference r:id="rId27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dimension_e22d43ca-8fd7-46d6-870a-773074df0506" name="data_dimension" connection="Consulta - data_dimension"/>
          <x15:modelTable id="corretor_dimension  2_70e09b13-7b46-42f0-b3b8-26682a9763f0" name="corretor_dimension  2" connection="Consulta - corretor_dimension (2)"/>
          <x15:modelTable id="imovel_dimension_d22b4598-5a3b-4ca4-8056-3833797067fa" name="imovel_dimension" connection="Consulta - imovel_dimension"/>
          <x15:modelTable id="receita_agregada_fact_368a9a2d-8df8-4ddb-8aa6-62f167c0086c" name="receita_agregada_fact" connection="Consulta - receita_agregada_fact"/>
          <x15:modelTable id="cliente_dimension_fa74b03d-f0ad-43b4-87b6-3cff03398626" name="cliente_dimension" connection="Consulta - cliente_dimension"/>
          <x15:modelTable id="trans_venda_fact_fc129823-3b99-488d-ab0f-2d944f23217b" name="trans_venda_fact" connection="Consulta - trans_venda_fact"/>
        </x15:modelTables>
        <x15:modelRelationships>
          <x15:modelRelationship fromTable="receita_agregada_fact" fromColumn="im_sk" toTable="imovel_dimension" toColumn="im_sk"/>
          <x15:modelRelationship fromTable="receita_agregada_fact" fromColumn="dt_sk" toTable="data_dimension" toColumn="dt_sk"/>
          <x15:modelRelationship fromTable="trans_venda_fact" fromColumn="cor_sk" toTable="corretor_dimension  2" toColumn="cor_sk"/>
          <x15:modelRelationship fromTable="trans_venda_fact" fromColumn="im_sk" toTable="imovel_dimension" toColumn="im_sk"/>
          <x15:modelRelationship fromTable="trans_venda_fact" fromColumn="cl_sk" toTable="cliente_dimension" toColumn="cl_sk"/>
          <x15:modelRelationship fromTable="trans_venda_fact" fromColumn="dt_sk" toTable="data_dimension" toColumn="dt_sk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ata_dimension" columnName="dt_data_completa" columnId="dt_data_completa">
                <x16:calculatedTimeColumn columnName="dt_data_completa (Índice de Mês)" columnId="dt_data_completa (Índice de Mês)" contentType="monthsindex" isSelected="1"/>
                <x16:calculatedTimeColumn columnName="dt_data_completa (Mês)" columnId="dt_data_comple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48FB41-DABA-4FF8-BB2A-3F223D618F73}" name="Consulta - cliente_dimension" description="Conexão com a consulta 'cliente_dimension' na pasta de trabalho." type="100" refreshedVersion="8" minRefreshableVersion="5">
    <extLst>
      <ext xmlns:x15="http://schemas.microsoft.com/office/spreadsheetml/2010/11/main" uri="{DE250136-89BD-433C-8126-D09CA5730AF9}">
        <x15:connection id="e0acab2f-0769-41b1-9e8d-3ba2766056ad"/>
      </ext>
    </extLst>
  </connection>
  <connection id="2" xr16:uid="{A135ADEB-A430-480B-8EB1-5D948C473826}" name="Consulta - corretor_dimension (2)" description="Conexão com a consulta 'corretor_dimension (2)' na pasta de trabalho." type="100" refreshedVersion="8" minRefreshableVersion="5">
    <extLst>
      <ext xmlns:x15="http://schemas.microsoft.com/office/spreadsheetml/2010/11/main" uri="{DE250136-89BD-433C-8126-D09CA5730AF9}">
        <x15:connection id="f3073de0-a5a0-4587-9be8-93aa4e173299"/>
      </ext>
    </extLst>
  </connection>
  <connection id="3" xr16:uid="{483CCB50-912C-42EE-BFC5-5A03530F9CA8}" name="Consulta - data_dimension" description="Conexão com a consulta 'data_dimension' na pasta de trabalho." type="100" refreshedVersion="8" minRefreshableVersion="5">
    <extLst>
      <ext xmlns:x15="http://schemas.microsoft.com/office/spreadsheetml/2010/11/main" uri="{DE250136-89BD-433C-8126-D09CA5730AF9}">
        <x15:connection id="a96670fc-9ceb-4d1e-a23c-aed8952efc3d"/>
      </ext>
    </extLst>
  </connection>
  <connection id="4" xr16:uid="{1996B3E7-21D8-483A-ADC4-C45007C544A1}" name="Consulta - imovel_dimension" description="Conexão com a consulta 'imovel_dimension' na pasta de trabalho." type="100" refreshedVersion="8" minRefreshableVersion="5">
    <extLst>
      <ext xmlns:x15="http://schemas.microsoft.com/office/spreadsheetml/2010/11/main" uri="{DE250136-89BD-433C-8126-D09CA5730AF9}">
        <x15:connection id="eb11c9bf-a84a-4ce5-97a5-6f048abbc220"/>
      </ext>
    </extLst>
  </connection>
  <connection id="5" xr16:uid="{8AFDD1B1-5C44-4D38-AE10-AFD65C7FA5CA}" name="Consulta - receita_agregada_fact" description="Conexão com a consulta 'receita_agregada_fact' na pasta de trabalho." type="100" refreshedVersion="8" minRefreshableVersion="5">
    <extLst>
      <ext xmlns:x15="http://schemas.microsoft.com/office/spreadsheetml/2010/11/main" uri="{DE250136-89BD-433C-8126-D09CA5730AF9}">
        <x15:connection id="4351263b-fef0-461c-91be-46771e179e82"/>
      </ext>
    </extLst>
  </connection>
  <connection id="6" xr16:uid="{F8B3898C-A133-4CF5-B748-54BB7571D62D}" name="Consulta - trans_venda_fact" description="Conexão com a consulta 'trans_venda_fact' na pasta de trabalho." type="100" refreshedVersion="8" minRefreshableVersion="5">
    <extLst>
      <ext xmlns:x15="http://schemas.microsoft.com/office/spreadsheetml/2010/11/main" uri="{DE250136-89BD-433C-8126-D09CA5730AF9}">
        <x15:connection id="2097aba1-1111-486f-80fd-1d547a1a9db5"/>
      </ext>
    </extLst>
  </connection>
  <connection id="7" xr16:uid="{2596490B-8211-4E66-8702-4E4C08FAC772}" keepAlive="1" name="ModelConnection_DadosExternos_1" description="Modelo de Dados" type="5" refreshedVersion="8" minRefreshableVersion="5" saveData="1">
    <dbPr connection="Data Model Connection" command="data_dimension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82022D4F-B234-4729-A274-A544B89A717A}" keepAlive="1" name="ModelConnection_DadosExternos_11" description="Modelo de Dados" type="5" refreshedVersion="8" minRefreshableVersion="5" saveData="1">
    <dbPr connection="Data Model Connection" command="corretor_dimension  2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DCBF3CCF-DD1C-4E20-9EB6-2B98C4C596B6}" keepAlive="1" name="ModelConnection_DadosExternos_12" description="Modelo de Dados" type="5" refreshedVersion="8" minRefreshableVersion="5" saveData="1">
    <dbPr connection="Data Model Connection" command="trans_venda_fact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9CCD63DB-4B7B-4AD1-A5B5-1D15A7CC9B72}" keepAlive="1" name="ModelConnection_DadosExternos_2" description="Modelo de Dados" type="5" refreshedVersion="8" minRefreshableVersion="5" saveData="1">
    <dbPr connection="Data Model Connection" command="imovel_dimension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D8ACC207-92BB-4B68-BAAE-C2FCC47ECD9A}" keepAlive="1" name="ModelConnection_DadosExternos_3" description="Modelo de Dados" type="5" refreshedVersion="8" minRefreshableVersion="5" saveData="1">
    <dbPr connection="Data Model Connection" command="receita_agregada_fact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719A1DCA-5DDB-4170-AE7A-DA64C0983FD4}" keepAlive="1" name="ModelConnection_DadosExternos_4" description="Modelo de Dados" type="5" refreshedVersion="8" minRefreshableVersion="5" saveData="1">
    <dbPr connection="Data Model Connection" command="cliente_dimension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CD996905-9F0F-46CC-BA04-C4F8B9BECA2D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<sst xmlns="http://schemas.openxmlformats.org/spreadsheetml/2006/main" count="695" uniqueCount="190">
  <si>
    <t>Desempenho dos corretores</t>
  </si>
  <si>
    <t>dt_sk</t>
  </si>
  <si>
    <t>dt_data_completa</t>
  </si>
  <si>
    <t>dt_dia_semana</t>
  </si>
  <si>
    <t>dt_dia_mes</t>
  </si>
  <si>
    <t>dt_mes</t>
  </si>
  <si>
    <t>dt_ano</t>
  </si>
  <si>
    <t>dt_trimestre</t>
  </si>
  <si>
    <t>cl_sk</t>
  </si>
  <si>
    <t>cl_cpf</t>
  </si>
  <si>
    <t>cl_nome</t>
  </si>
  <si>
    <t>cl_sobrenome</t>
  </si>
  <si>
    <t>cl_dt_inicio</t>
  </si>
  <si>
    <t>cl_dt_fim</t>
  </si>
  <si>
    <t>cl_is_atual</t>
  </si>
  <si>
    <t>Gabriel</t>
  </si>
  <si>
    <t>Torres</t>
  </si>
  <si>
    <t/>
  </si>
  <si>
    <t>t</t>
  </si>
  <si>
    <t>Helena</t>
  </si>
  <si>
    <t>Castro</t>
  </si>
  <si>
    <t>Igor</t>
  </si>
  <si>
    <t>Ramos</t>
  </si>
  <si>
    <t>Julia</t>
  </si>
  <si>
    <t>Farias</t>
  </si>
  <si>
    <t>Kleber</t>
  </si>
  <si>
    <t>Duarte</t>
  </si>
  <si>
    <t>Larissa</t>
  </si>
  <si>
    <t>Gomes</t>
  </si>
  <si>
    <t>Mateus</t>
  </si>
  <si>
    <t>Pereira</t>
  </si>
  <si>
    <t>Natália</t>
  </si>
  <si>
    <t>Almeida</t>
  </si>
  <si>
    <t>Otávio</t>
  </si>
  <si>
    <t>Cunha</t>
  </si>
  <si>
    <t>Paula</t>
  </si>
  <si>
    <t>Freitas</t>
  </si>
  <si>
    <t>Quintino</t>
  </si>
  <si>
    <t>Barbosa</t>
  </si>
  <si>
    <t>Renata</t>
  </si>
  <si>
    <t>Xavier</t>
  </si>
  <si>
    <t>Sérgio</t>
  </si>
  <si>
    <t>Machado</t>
  </si>
  <si>
    <t>Tatiana</t>
  </si>
  <si>
    <t>Novaes</t>
  </si>
  <si>
    <t>Ulisses</t>
  </si>
  <si>
    <t>Siqueira</t>
  </si>
  <si>
    <t>Vanessa</t>
  </si>
  <si>
    <t>Guedes</t>
  </si>
  <si>
    <t>Wagner</t>
  </si>
  <si>
    <t>Mendonça</t>
  </si>
  <si>
    <t>Ximena</t>
  </si>
  <si>
    <t>Vieira</t>
  </si>
  <si>
    <t>Yasmin</t>
  </si>
  <si>
    <t>Lopes</t>
  </si>
  <si>
    <t>Zeca</t>
  </si>
  <si>
    <t>Azevedo</t>
  </si>
  <si>
    <t>Aline</t>
  </si>
  <si>
    <t>Ribeiro</t>
  </si>
  <si>
    <t>Bento</t>
  </si>
  <si>
    <t>Salles</t>
  </si>
  <si>
    <t>Cecília</t>
  </si>
  <si>
    <t>Camargo</t>
  </si>
  <si>
    <t>Danilo</t>
  </si>
  <si>
    <t>Portela</t>
  </si>
  <si>
    <t>Estela</t>
  </si>
  <si>
    <t>Nogueira</t>
  </si>
  <si>
    <t>Felipe</t>
  </si>
  <si>
    <t>Assis</t>
  </si>
  <si>
    <t>Giulia</t>
  </si>
  <si>
    <t>Bittencourt</t>
  </si>
  <si>
    <t>Hugo</t>
  </si>
  <si>
    <t>Coutinho</t>
  </si>
  <si>
    <t>Isadora</t>
  </si>
  <si>
    <t>Drummond</t>
  </si>
  <si>
    <t>João</t>
  </si>
  <si>
    <t>Esteves</t>
  </si>
  <si>
    <t>cor_sk</t>
  </si>
  <si>
    <t>cor_cpf</t>
  </si>
  <si>
    <t>cor_registro</t>
  </si>
  <si>
    <t>cor_nome</t>
  </si>
  <si>
    <t>cor_sobrenome</t>
  </si>
  <si>
    <t>cor_dt_inicio</t>
  </si>
  <si>
    <t>cor_dt_fim</t>
  </si>
  <si>
    <t>cor_is_atual</t>
  </si>
  <si>
    <t>CRECI-RJ-10000</t>
  </si>
  <si>
    <t>Ana</t>
  </si>
  <si>
    <t>Souza</t>
  </si>
  <si>
    <t>CRECI-RJ-10111</t>
  </si>
  <si>
    <t>Bruno</t>
  </si>
  <si>
    <t>Lima</t>
  </si>
  <si>
    <t>CRECI-RJ-10222</t>
  </si>
  <si>
    <t>Carla</t>
  </si>
  <si>
    <t>Nunes</t>
  </si>
  <si>
    <t>CRECI-SP-10333</t>
  </si>
  <si>
    <t>Diego</t>
  </si>
  <si>
    <t>CRECI-SP-10444</t>
  </si>
  <si>
    <t>Elisa</t>
  </si>
  <si>
    <t>Prado</t>
  </si>
  <si>
    <t>CRECI-SP-10555</t>
  </si>
  <si>
    <t>Fábio</t>
  </si>
  <si>
    <t>Teixeira</t>
  </si>
  <si>
    <t>CRECI-MG-10666</t>
  </si>
  <si>
    <t>Gustavo</t>
  </si>
  <si>
    <t>Barros</t>
  </si>
  <si>
    <t>CRECI-MG-10777</t>
  </si>
  <si>
    <t>Heloisa</t>
  </si>
  <si>
    <t>Moreira</t>
  </si>
  <si>
    <t>CRECI-ES-10888</t>
  </si>
  <si>
    <t>Ivan</t>
  </si>
  <si>
    <t>Cardoso</t>
  </si>
  <si>
    <t>CRECI-PR-10999</t>
  </si>
  <si>
    <t>Joana</t>
  </si>
  <si>
    <t>Pinto</t>
  </si>
  <si>
    <t>im_sk</t>
  </si>
  <si>
    <t>im_id</t>
  </si>
  <si>
    <t>im_logradouro</t>
  </si>
  <si>
    <t>im_bairro</t>
  </si>
  <si>
    <t>im_cidade</t>
  </si>
  <si>
    <t>im_estado</t>
  </si>
  <si>
    <t>im_num_anuncios</t>
  </si>
  <si>
    <t>im_gasto_em_anuncios</t>
  </si>
  <si>
    <t>im_dt_inicio</t>
  </si>
  <si>
    <t>im_dt_fim</t>
  </si>
  <si>
    <t>im_is_atual</t>
  </si>
  <si>
    <t>Nossa Senhora de Copacabana</t>
  </si>
  <si>
    <t>Copacabana</t>
  </si>
  <si>
    <t>Rio de Janeiro</t>
  </si>
  <si>
    <t>Visconde de Pirajá</t>
  </si>
  <si>
    <t>Ipanema</t>
  </si>
  <si>
    <t>Voluntários da Pátria</t>
  </si>
  <si>
    <t>Botafogo</t>
  </si>
  <si>
    <t>do Imperador</t>
  </si>
  <si>
    <t>Centro Histórico</t>
  </si>
  <si>
    <t>Petrópolis</t>
  </si>
  <si>
    <t>Francisco Glicério</t>
  </si>
  <si>
    <t>Centro</t>
  </si>
  <si>
    <t>Campinas</t>
  </si>
  <si>
    <t>São Paulo</t>
  </si>
  <si>
    <t>Ana Costa</t>
  </si>
  <si>
    <t>Gonzaga</t>
  </si>
  <si>
    <t>Santos</t>
  </si>
  <si>
    <t>Afonso Pena</t>
  </si>
  <si>
    <t>Belo Horizonte</t>
  </si>
  <si>
    <t>Minas Gerais</t>
  </si>
  <si>
    <t>Direita</t>
  </si>
  <si>
    <t>Ouro Preto</t>
  </si>
  <si>
    <t>Jerônimo Monteiro</t>
  </si>
  <si>
    <t>Vitória</t>
  </si>
  <si>
    <t>Espírito Santo</t>
  </si>
  <si>
    <t>Augusta</t>
  </si>
  <si>
    <t>Vila Madalena</t>
  </si>
  <si>
    <t>Jardim da Penha</t>
  </si>
  <si>
    <t>XV de Novembro</t>
  </si>
  <si>
    <t>Curitiba</t>
  </si>
  <si>
    <t>Paraná</t>
  </si>
  <si>
    <t>do Catete</t>
  </si>
  <si>
    <t>Catete</t>
  </si>
  <si>
    <t>Roberto Silveira</t>
  </si>
  <si>
    <t>Niterói</t>
  </si>
  <si>
    <t>dos Pinheiros</t>
  </si>
  <si>
    <t>Pinheiros</t>
  </si>
  <si>
    <t>Leme</t>
  </si>
  <si>
    <t>Eldorado</t>
  </si>
  <si>
    <t>ra_sk</t>
  </si>
  <si>
    <t>ra_comissao_total</t>
  </si>
  <si>
    <t>tv_sk</t>
  </si>
  <si>
    <t>tv_id</t>
  </si>
  <si>
    <t>tv_valor</t>
  </si>
  <si>
    <t>tv_valor_cliente</t>
  </si>
  <si>
    <t>tv_comissao</t>
  </si>
  <si>
    <t>tv_comissao_cliente</t>
  </si>
  <si>
    <t>tv_tipo_cliente</t>
  </si>
  <si>
    <t>tv_total_compradores</t>
  </si>
  <si>
    <t>tv_total_vendedores</t>
  </si>
  <si>
    <t>COMPRADOR</t>
  </si>
  <si>
    <t>VENDEDOR</t>
  </si>
  <si>
    <t>dt_data_completa (Índice de Mês)</t>
  </si>
  <si>
    <t>dt_data_completa (Mês)</t>
  </si>
  <si>
    <t>Jun</t>
  </si>
  <si>
    <t>May</t>
  </si>
  <si>
    <t>Jul</t>
  </si>
  <si>
    <t>Apr</t>
  </si>
  <si>
    <t>Aug</t>
  </si>
  <si>
    <t>Mar</t>
  </si>
  <si>
    <t>Montante de vendas</t>
  </si>
  <si>
    <t>Resultados da Imobiliária</t>
  </si>
  <si>
    <t>Participação do cliente</t>
  </si>
  <si>
    <t>Montante movimentado</t>
  </si>
  <si>
    <t>Total arrecadado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</si>
</sst>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14" fontId="0" fillId="0" borderId="0" xfId="0" applyNumberFormat="1"/>
    <xf numFmtId="0" fontId="0" fillId="0" borderId="0" xfId="0" applyNumberFormat="1"/>
    <xf numFmtId="22" fontId="0" fillId="0" borderId="0" xfId="0" applyNumberFormat="1"/>
    <xf numFmtId="165" fontId="1" fillId="2" borderId="0" xfId="0" applyNumberFormat="1" applyFont="1" applyFill="1"/>
  </cellXfs>
  <cellStyles count="1">
    <cellStyle name="Normal" xfId="0" builtinId="0"/>
  </cellStyles>
  <dxfs count="671"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ill>
        <patternFill patternType="solid">
          <fgColor indexed="64"/>
          <bgColor theme="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165" formatCode="_-[$R$-416]\ * #,##0.00_-;\-[$R$-416]\ * #,##0.00_-;_-[$R$-416]\ * &quot;-&quot;??_-;_-@_-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Estilo de Segmentação de Dados 1" pivot="0" table="0" count="0" xr9:uid="{DDA5C02E-748A-4052-9AA4-7B946531C7F7}"/>
  </tableStyle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6.xml"/><Relationship Id="rId26" Type="http://schemas.openxmlformats.org/officeDocument/2006/relationships/pivotTable" Target="pivotTables/pivotTable4.xml"/><Relationship Id="rId39" Type="http://schemas.openxmlformats.org/officeDocument/2006/relationships/customXml" Target="../customXml/item6.xml"/><Relationship Id="rId21" Type="http://schemas.openxmlformats.org/officeDocument/2006/relationships/pivotCacheDefinition" Target="pivotCache/pivotCacheDefinition9.xml"/><Relationship Id="rId34" Type="http://schemas.openxmlformats.org/officeDocument/2006/relationships/customXml" Target="../customXml/item1.xml"/><Relationship Id="rId42" Type="http://schemas.openxmlformats.org/officeDocument/2006/relationships/customXml" Target="../customXml/item9.xml"/><Relationship Id="rId47" Type="http://schemas.openxmlformats.org/officeDocument/2006/relationships/customXml" Target="../customXml/item14.xml"/><Relationship Id="rId50" Type="http://schemas.openxmlformats.org/officeDocument/2006/relationships/customXml" Target="../customXml/item17.xml"/><Relationship Id="rId55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9" Type="http://schemas.openxmlformats.org/officeDocument/2006/relationships/connections" Target="connections.xml"/><Relationship Id="rId11" Type="http://schemas.openxmlformats.org/officeDocument/2006/relationships/pivotCacheDefinition" Target="pivotCache/pivotCacheDefinition2.xml"/><Relationship Id="rId24" Type="http://schemas.openxmlformats.org/officeDocument/2006/relationships/pivotTable" Target="pivotTables/pivotTable2.xml"/><Relationship Id="rId32" Type="http://schemas.openxmlformats.org/officeDocument/2006/relationships/powerPivotData" Target="model/item.data"/><Relationship Id="rId37" Type="http://schemas.openxmlformats.org/officeDocument/2006/relationships/customXml" Target="../customXml/item4.xml"/><Relationship Id="rId40" Type="http://schemas.openxmlformats.org/officeDocument/2006/relationships/customXml" Target="../customXml/item7.xml"/><Relationship Id="rId45" Type="http://schemas.openxmlformats.org/officeDocument/2006/relationships/customXml" Target="../customXml/item12.xml"/><Relationship Id="rId53" Type="http://schemas.openxmlformats.org/officeDocument/2006/relationships/customXml" Target="../customXml/item20.xml"/><Relationship Id="rId58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ivotCacheDefinition" Target="pivotCache/pivotCacheDefinition10.xml"/><Relationship Id="rId27" Type="http://schemas.openxmlformats.org/officeDocument/2006/relationships/pivotTable" Target="pivotTables/pivotTable5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43" Type="http://schemas.openxmlformats.org/officeDocument/2006/relationships/customXml" Target="../customXml/item10.xml"/><Relationship Id="rId48" Type="http://schemas.openxmlformats.org/officeDocument/2006/relationships/customXml" Target="../customXml/item15.xml"/><Relationship Id="rId56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3.xml"/><Relationship Id="rId25" Type="http://schemas.openxmlformats.org/officeDocument/2006/relationships/pivotTable" Target="pivotTables/pivotTable3.xml"/><Relationship Id="rId33" Type="http://schemas.microsoft.com/office/2017/10/relationships/person" Target="persons/person.xml"/><Relationship Id="rId38" Type="http://schemas.openxmlformats.org/officeDocument/2006/relationships/customXml" Target="../customXml/item5.xml"/><Relationship Id="rId46" Type="http://schemas.openxmlformats.org/officeDocument/2006/relationships/customXml" Target="../customXml/item13.xml"/><Relationship Id="rId59" Type="http://schemas.openxmlformats.org/officeDocument/2006/relationships/customXml" Target="../customXml/item26.xml"/><Relationship Id="rId20" Type="http://schemas.openxmlformats.org/officeDocument/2006/relationships/pivotCacheDefinition" Target="pivotCache/pivotCacheDefinition8.xml"/><Relationship Id="rId41" Type="http://schemas.openxmlformats.org/officeDocument/2006/relationships/customXml" Target="../customXml/item8.xml"/><Relationship Id="rId54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microsoft.com/office/2007/relationships/slicerCache" Target="slicerCaches/slicerCache1.xml"/><Relationship Id="rId23" Type="http://schemas.openxmlformats.org/officeDocument/2006/relationships/pivotTable" Target="pivotTables/pivotTable1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49" Type="http://schemas.openxmlformats.org/officeDocument/2006/relationships/customXml" Target="../customXml/item16.xml"/><Relationship Id="rId57" Type="http://schemas.openxmlformats.org/officeDocument/2006/relationships/customXml" Target="../customXml/item24.xml"/><Relationship Id="rId10" Type="http://schemas.openxmlformats.org/officeDocument/2006/relationships/pivotCacheDefinition" Target="pivotCache/pivotCacheDefinition1.xml"/><Relationship Id="rId31" Type="http://schemas.openxmlformats.org/officeDocument/2006/relationships/sharedStrings" Target="sharedStrings.xml"/><Relationship Id="rId44" Type="http://schemas.openxmlformats.org/officeDocument/2006/relationships/customXml" Target="../customXml/item11.xml"/><Relationship Id="rId52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64436866342465"/>
          <c:y val="0.16539576365663325"/>
          <c:w val="0.64428703075409088"/>
          <c:h val="0.731512741509318"/>
        </c:manualLayout>
      </c:layout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6005199"/>
        <c:axId val="1816032559"/>
      </c:lineChart>
      <c:catAx>
        <c:axId val="18160051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03255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160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6005199"/>
        <c:crosses val="autoZero"/>
        <c:crossBetween val="between"/>
        <c:extLst>
          <c:ext xmlns:c15="http://schemas.microsoft.com/office/drawing/2012/chart" uri="{F40574EE-89B7-4290-83BB-5DA773EAF853}">
            <c15:numFmt c:formatCode="[$R$-416]\ #,##0.00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extLst>
    <c:ext xmlns:c15="http://schemas.microsoft.com/office/drawing/2012/chart" uri="{723BEF56-08C2-4564-9609-F4CBC75E7E54}">
      <c15:pivotSource>
        <c15:name>[Dashboard e afins.xlsx]PivotChartTable1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Número de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Lit>
              <c:ptCount val="25"/>
              <c:pt idx="0">
                <c:v>1
Mar</c:v>
              </c:pt>
              <c:pt idx="1">
                <c:v>5
Mar</c:v>
              </c:pt>
              <c:pt idx="2">
                <c:v>10
Mar</c:v>
              </c:pt>
              <c:pt idx="3">
                <c:v>15
Mar</c:v>
              </c:pt>
              <c:pt idx="4">
                <c:v>20
Mar</c:v>
              </c:pt>
              <c:pt idx="5">
                <c:v>25
Mar</c:v>
              </c:pt>
              <c:pt idx="6">
                <c:v>1
Apr</c:v>
              </c:pt>
              <c:pt idx="7">
                <c:v>5
Apr</c:v>
              </c:pt>
              <c:pt idx="8">
                <c:v>10
Apr</c:v>
              </c:pt>
              <c:pt idx="9">
                <c:v>15
Apr</c:v>
              </c:pt>
              <c:pt idx="10">
                <c:v>20
Apr</c:v>
              </c:pt>
              <c:pt idx="11">
                <c:v>25
Apr</c:v>
              </c:pt>
              <c:pt idx="12">
                <c:v>1
May</c:v>
              </c:pt>
              <c:pt idx="13">
                <c:v>5
May</c:v>
              </c:pt>
              <c:pt idx="14">
                <c:v>10
May</c:v>
              </c:pt>
              <c:pt idx="15">
                <c:v>15
May</c:v>
              </c:pt>
              <c:pt idx="16">
                <c:v>20
May</c:v>
              </c:pt>
              <c:pt idx="17">
                <c:v>25
May</c:v>
              </c:pt>
              <c:pt idx="18">
                <c:v>1
Jun</c:v>
              </c:pt>
              <c:pt idx="19">
                <c:v>5
Jun</c:v>
              </c:pt>
              <c:pt idx="20">
                <c:v>10
Jun</c:v>
              </c:pt>
              <c:pt idx="21">
                <c:v>15
Jun</c:v>
              </c:pt>
              <c:pt idx="22">
                <c:v>20
Jun</c:v>
              </c:pt>
              <c:pt idx="23">
                <c:v>25
Jun</c:v>
              </c:pt>
              <c:pt idx="24">
                <c:v>15
Jul</c:v>
              </c:pt>
            </c:strLit>
          </c:cat>
          <c:val>
            <c:numLit>
              <c:formatCode>General</c:formatCode>
              <c:ptCount val="25"/>
              <c:pt idx="0">
                <c:v>3</c:v>
              </c:pt>
              <c:pt idx="1">
                <c:v>4</c:v>
              </c:pt>
              <c:pt idx="2">
                <c:v>2</c:v>
              </c:pt>
              <c:pt idx="3">
                <c:v>2</c:v>
              </c:pt>
              <c:pt idx="4">
                <c:v>3</c:v>
              </c:pt>
              <c:pt idx="5">
                <c:v>2</c:v>
              </c:pt>
              <c:pt idx="6">
                <c:v>2</c:v>
              </c:pt>
              <c:pt idx="7">
                <c:v>4</c:v>
              </c:pt>
              <c:pt idx="8">
                <c:v>3</c:v>
              </c:pt>
              <c:pt idx="9">
                <c:v>2</c:v>
              </c:pt>
              <c:pt idx="10">
                <c:v>3</c:v>
              </c:pt>
              <c:pt idx="11">
                <c:v>2</c:v>
              </c:pt>
              <c:pt idx="12">
                <c:v>2</c:v>
              </c:pt>
              <c:pt idx="13">
                <c:v>3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2</c:v>
              </c:pt>
              <c:pt idx="18">
                <c:v>3</c:v>
              </c:pt>
              <c:pt idx="19">
                <c:v>4</c:v>
              </c:pt>
              <c:pt idx="20">
                <c:v>3</c:v>
              </c:pt>
              <c:pt idx="21">
                <c:v>4</c:v>
              </c:pt>
              <c:pt idx="22">
                <c:v>2</c:v>
              </c:pt>
              <c:pt idx="23">
                <c:v>2</c:v>
              </c:pt>
              <c:pt idx="2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6C45-4D8C-B519-6CDB3E008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639167"/>
        <c:axId val="1356637727"/>
      </c:barChart>
      <c:catAx>
        <c:axId val="13566391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6377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5663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63916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extLst>
    <c:ext xmlns:c15="http://schemas.microsoft.com/office/drawing/2012/chart" uri="{723BEF56-08C2-4564-9609-F4CBC75E7E54}">
      <c15:pivotSource>
        <c15:name>[Dashboard e afins.xlsx]PivotChartTable4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Comissão recebida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25"/>
              <c:pt idx="0">
                <c:v>1
Mar</c:v>
              </c:pt>
              <c:pt idx="1">
                <c:v>5
Mar</c:v>
              </c:pt>
              <c:pt idx="2">
                <c:v>10
Mar</c:v>
              </c:pt>
              <c:pt idx="3">
                <c:v>15
Mar</c:v>
              </c:pt>
              <c:pt idx="4">
                <c:v>20
Mar</c:v>
              </c:pt>
              <c:pt idx="5">
                <c:v>25
Mar</c:v>
              </c:pt>
              <c:pt idx="6">
                <c:v>1
Apr</c:v>
              </c:pt>
              <c:pt idx="7">
                <c:v>5
Apr</c:v>
              </c:pt>
              <c:pt idx="8">
                <c:v>10
Apr</c:v>
              </c:pt>
              <c:pt idx="9">
                <c:v>15
Apr</c:v>
              </c:pt>
              <c:pt idx="10">
                <c:v>20
Apr</c:v>
              </c:pt>
              <c:pt idx="11">
                <c:v>25
Apr</c:v>
              </c:pt>
              <c:pt idx="12">
                <c:v>1
May</c:v>
              </c:pt>
              <c:pt idx="13">
                <c:v>5
May</c:v>
              </c:pt>
              <c:pt idx="14">
                <c:v>10
May</c:v>
              </c:pt>
              <c:pt idx="15">
                <c:v>15
May</c:v>
              </c:pt>
              <c:pt idx="16">
                <c:v>20
May</c:v>
              </c:pt>
              <c:pt idx="17">
                <c:v>25
May</c:v>
              </c:pt>
              <c:pt idx="18">
                <c:v>1
Jun</c:v>
              </c:pt>
              <c:pt idx="19">
                <c:v>5
Jun</c:v>
              </c:pt>
              <c:pt idx="20">
                <c:v>10
Jun</c:v>
              </c:pt>
              <c:pt idx="21">
                <c:v>15
Jun</c:v>
              </c:pt>
              <c:pt idx="22">
                <c:v>20
Jun</c:v>
              </c:pt>
              <c:pt idx="23">
                <c:v>25
Jun</c:v>
              </c:pt>
              <c:pt idx="24">
                <c:v>15
Jul</c:v>
              </c:pt>
            </c:strLit>
          </c:cat>
          <c:val>
            <c:numLit>
              <c:formatCode>[$R$-416]\ #,##0.00</c:formatCode>
              <c:ptCount val="25"/>
              <c:pt idx="0">
                <c:v>86718.6</c:v>
              </c:pt>
              <c:pt idx="1">
                <c:v>36000.06</c:v>
              </c:pt>
              <c:pt idx="2">
                <c:v>77874.880000000005</c:v>
              </c:pt>
              <c:pt idx="3">
                <c:v>114808.92</c:v>
              </c:pt>
              <c:pt idx="4">
                <c:v>63608.160000000003</c:v>
              </c:pt>
              <c:pt idx="5">
                <c:v>129356.9</c:v>
              </c:pt>
              <c:pt idx="6">
                <c:v>63557.02</c:v>
              </c:pt>
              <c:pt idx="7">
                <c:v>158851.01999999999</c:v>
              </c:pt>
              <c:pt idx="8">
                <c:v>166240.76</c:v>
              </c:pt>
              <c:pt idx="9">
                <c:v>50664.5</c:v>
              </c:pt>
              <c:pt idx="10">
                <c:v>113052.58</c:v>
              </c:pt>
              <c:pt idx="11">
                <c:v>141234</c:v>
              </c:pt>
              <c:pt idx="12">
                <c:v>149507.51999999999</c:v>
              </c:pt>
              <c:pt idx="13">
                <c:v>97847.18</c:v>
              </c:pt>
              <c:pt idx="14">
                <c:v>171580.84</c:v>
              </c:pt>
              <c:pt idx="15">
                <c:v>93115.4</c:v>
              </c:pt>
              <c:pt idx="16">
                <c:v>47482.96</c:v>
              </c:pt>
              <c:pt idx="17">
                <c:v>142381.72</c:v>
              </c:pt>
              <c:pt idx="18">
                <c:v>57881.22</c:v>
              </c:pt>
              <c:pt idx="19">
                <c:v>29613.200000000001</c:v>
              </c:pt>
              <c:pt idx="20">
                <c:v>60987.16</c:v>
              </c:pt>
              <c:pt idx="21">
                <c:v>157766.24</c:v>
              </c:pt>
              <c:pt idx="22">
                <c:v>82547.14</c:v>
              </c:pt>
              <c:pt idx="23">
                <c:v>68090.42</c:v>
              </c:pt>
              <c:pt idx="24">
                <c:v>327630.28000000003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71E7-4D41-BCA3-6ECB29663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5042415"/>
        <c:axId val="1545042895"/>
      </c:lineChart>
      <c:catAx>
        <c:axId val="15450424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04289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54504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5042415"/>
        <c:crosses val="autoZero"/>
        <c:crossBetween val="between"/>
        <c:extLst>
          <c:ext xmlns:c15="http://schemas.microsoft.com/office/drawing/2012/chart" uri="{F40574EE-89B7-4290-83BB-5DA773EAF853}">
            <c15:numFmt c:formatCode="[$R$-416]\ #,##0.00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extLst>
    <c:ext xmlns:c15="http://schemas.microsoft.com/office/drawing/2012/chart" uri="{723BEF56-08C2-4564-9609-F4CBC75E7E54}">
      <c15:pivotSource>
        <c15:name>[Dashboard e afins.xlsx]PivotChartTable2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E9713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rgbClr val="E97132"/>
              </a:solidFill>
              <a:round/>
            </a:ln>
            <a:effectLst/>
          </c:spPr>
          <c:marker>
            <c:symbol val="none"/>
          </c:marker>
          <c:cat>
            <c:strLit>
              <c:ptCount val="25"/>
              <c:pt idx="0">
                <c:v>1
Mar</c:v>
              </c:pt>
              <c:pt idx="1">
                <c:v>5
Mar</c:v>
              </c:pt>
              <c:pt idx="2">
                <c:v>10
Mar</c:v>
              </c:pt>
              <c:pt idx="3">
                <c:v>15
Mar</c:v>
              </c:pt>
              <c:pt idx="4">
                <c:v>20
Mar</c:v>
              </c:pt>
              <c:pt idx="5">
                <c:v>25
Mar</c:v>
              </c:pt>
              <c:pt idx="6">
                <c:v>1
Apr</c:v>
              </c:pt>
              <c:pt idx="7">
                <c:v>5
Apr</c:v>
              </c:pt>
              <c:pt idx="8">
                <c:v>10
Apr</c:v>
              </c:pt>
              <c:pt idx="9">
                <c:v>15
Apr</c:v>
              </c:pt>
              <c:pt idx="10">
                <c:v>20
Apr</c:v>
              </c:pt>
              <c:pt idx="11">
                <c:v>25
Apr</c:v>
              </c:pt>
              <c:pt idx="12">
                <c:v>1
May</c:v>
              </c:pt>
              <c:pt idx="13">
                <c:v>5
May</c:v>
              </c:pt>
              <c:pt idx="14">
                <c:v>10
May</c:v>
              </c:pt>
              <c:pt idx="15">
                <c:v>15
May</c:v>
              </c:pt>
              <c:pt idx="16">
                <c:v>20
May</c:v>
              </c:pt>
              <c:pt idx="17">
                <c:v>25
May</c:v>
              </c:pt>
              <c:pt idx="18">
                <c:v>1
Jun</c:v>
              </c:pt>
              <c:pt idx="19">
                <c:v>5
Jun</c:v>
              </c:pt>
              <c:pt idx="20">
                <c:v>10
Jun</c:v>
              </c:pt>
              <c:pt idx="21">
                <c:v>15
Jun</c:v>
              </c:pt>
              <c:pt idx="22">
                <c:v>20
Jun</c:v>
              </c:pt>
              <c:pt idx="23">
                <c:v>25
Jun</c:v>
              </c:pt>
              <c:pt idx="24">
                <c:v>15
Jul</c:v>
              </c:pt>
            </c:strLit>
          </c:cat>
          <c:val>
            <c:numLit>
              <c:formatCode>[$R$-416]\ #,##0.00</c:formatCode>
              <c:ptCount val="25"/>
              <c:pt idx="0">
                <c:v>43359.3</c:v>
              </c:pt>
              <c:pt idx="1">
                <c:v>18000.03</c:v>
              </c:pt>
              <c:pt idx="2">
                <c:v>38937.440000000002</c:v>
              </c:pt>
              <c:pt idx="3">
                <c:v>57404.46</c:v>
              </c:pt>
              <c:pt idx="4">
                <c:v>31804.080000000002</c:v>
              </c:pt>
              <c:pt idx="5">
                <c:v>64678.45</c:v>
              </c:pt>
              <c:pt idx="6">
                <c:v>31778.51</c:v>
              </c:pt>
              <c:pt idx="7">
                <c:v>79425.509999999995</c:v>
              </c:pt>
              <c:pt idx="8">
                <c:v>83120.38</c:v>
              </c:pt>
              <c:pt idx="9">
                <c:v>25332.25</c:v>
              </c:pt>
              <c:pt idx="10">
                <c:v>56526.29</c:v>
              </c:pt>
              <c:pt idx="11">
                <c:v>70617</c:v>
              </c:pt>
              <c:pt idx="12">
                <c:v>74753.759999999995</c:v>
              </c:pt>
              <c:pt idx="13">
                <c:v>48923.59</c:v>
              </c:pt>
              <c:pt idx="14">
                <c:v>85790.42</c:v>
              </c:pt>
              <c:pt idx="15">
                <c:v>46557.7</c:v>
              </c:pt>
              <c:pt idx="16">
                <c:v>23741.48</c:v>
              </c:pt>
              <c:pt idx="17">
                <c:v>71190.86</c:v>
              </c:pt>
              <c:pt idx="18">
                <c:v>28940.61</c:v>
              </c:pt>
              <c:pt idx="19">
                <c:v>14806.6</c:v>
              </c:pt>
              <c:pt idx="20">
                <c:v>30493.58</c:v>
              </c:pt>
              <c:pt idx="21">
                <c:v>78883.12</c:v>
              </c:pt>
              <c:pt idx="22">
                <c:v>41273.57</c:v>
              </c:pt>
              <c:pt idx="23">
                <c:v>34045.21</c:v>
              </c:pt>
              <c:pt idx="24">
                <c:v>163815.14000000001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C45-4D8C-B519-6CDB3E008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639167"/>
        <c:axId val="1356637727"/>
      </c:lineChart>
      <c:catAx>
        <c:axId val="13566391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63772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5663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639167"/>
        <c:crosses val="autoZero"/>
        <c:crossBetween val="between"/>
        <c:extLst>
          <c:ext xmlns:c15="http://schemas.microsoft.com/office/drawing/2012/chart" uri="{F40574EE-89B7-4290-83BB-5DA773EAF853}">
            <c15:numFmt c:formatCode="[$R$-416]\ #,##0.00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extLst>
    <c:ext xmlns:c15="http://schemas.microsoft.com/office/drawing/2012/chart" uri="{723BEF56-08C2-4564-9609-F4CBC75E7E54}">
      <c15:pivotSource>
        <c15:name>[Dashboard e afins.xlsx]PivotChartTable3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Papel</a:t>
            </a:r>
            <a:r>
              <a:rPr lang="pt-BR" baseline="0"/>
              <a:t> do cliente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F9ED5"/>
          </a:solidFill>
          <a:ln>
            <a:noFill/>
          </a:ln>
          <a:effectLst/>
        </c:spPr>
      </c:pivotFmt>
      <c:pivotFmt>
        <c:idx val="7"/>
        <c:spPr>
          <a:solidFill>
            <a:srgbClr val="E97132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757-43CF-A9F9-2E693ABFFC9D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>
                <a:noFill/>
              </a:ln>
              <a:effectLst/>
            </c:spPr>
          </c:dPt>
          <c:cat>
            <c:strLit>
              <c:ptCount val="2"/>
              <c:pt idx="0">
                <c:v>COMPRADOR</c:v>
              </c:pt>
              <c:pt idx="1">
                <c:v>VENDEDOR</c:v>
              </c:pt>
            </c:strLit>
          </c:cat>
          <c:val>
            <c:numLit>
              <c:formatCode>General</c:formatCode>
              <c:ptCount val="2"/>
              <c:pt idx="0">
                <c:v>595</c:v>
              </c:pt>
              <c:pt idx="1">
                <c:v>538</c:v>
              </c:pt>
            </c:numLit>
          </c:val>
          <c:extLst>
            <c:ext xmlns:c16="http://schemas.microsoft.com/office/drawing/2014/chart" uri="{C3380CC4-5D6E-409C-BE32-E72D297353CC}">
              <c16:uniqueId val="{00000003-8757-43CF-A9F9-2E693ABFF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084230096237975"/>
          <c:y val="0.52133056284631085"/>
          <c:w val="0.18137992125984248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extLst>
    <c:ext xmlns:c15="http://schemas.microsoft.com/office/drawing/2012/chart" uri="{723BEF56-08C2-4564-9609-F4CBC75E7E54}">
      <c15:pivotSource>
        <c15:name>[Dashboard e afins.xlsx]PivotChartTable5</c15:name>
        <c15:fmtId val="0"/>
      </c15:pivotSource>
      <c15:pivotOptions>
        <c15:dropZoneFilter val="1"/>
        <c15:dropZoneCategories val="1"/>
        <c15:dropZoneData val="1"/>
        <c15:dropZoneSeries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1</xdr:row>
      <xdr:rowOff>161925</xdr:rowOff>
    </xdr:from>
    <xdr:to>
      <xdr:col>17</xdr:col>
      <xdr:colOff>361949</xdr:colOff>
      <xdr:row>16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C7A15CF-3BC5-5634-CDA2-B2D03552B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</xdr:row>
      <xdr:rowOff>180975</xdr:rowOff>
    </xdr:from>
    <xdr:to>
      <xdr:col>9</xdr:col>
      <xdr:colOff>581025</xdr:colOff>
      <xdr:row>16</xdr:row>
      <xdr:rowOff>66675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66671F1-C71F-81AC-D778-5E755ED27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438150</xdr:colOff>
      <xdr:row>18</xdr:row>
      <xdr:rowOff>442912</xdr:rowOff>
    </xdr:from>
    <xdr:to>
      <xdr:col>12</xdr:col>
      <xdr:colOff>266700</xdr:colOff>
      <xdr:row>33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21C5490-4F9E-EE20-E63D-7BBD06413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457200</xdr:colOff>
      <xdr:row>2</xdr:row>
      <xdr:rowOff>100012</xdr:rowOff>
    </xdr:from>
    <xdr:to>
      <xdr:col>17</xdr:col>
      <xdr:colOff>152400</xdr:colOff>
      <xdr:row>16</xdr:row>
      <xdr:rowOff>176212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160BBF-5629-3D4B-A7F0-F7A0CF3AD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247650</xdr:colOff>
      <xdr:row>2</xdr:row>
      <xdr:rowOff>0</xdr:rowOff>
    </xdr:from>
    <xdr:to>
      <xdr:col>3</xdr:col>
      <xdr:colOff>247650</xdr:colOff>
      <xdr:row>16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ês">
              <a:extLst>
                <a:ext uri="{FF2B5EF4-FFF2-40B4-BE49-F238E27FC236}">
                  <a16:creationId xmlns:a16="http://schemas.microsoft.com/office/drawing/2014/main" id="{D4E5E683-CB85-F6FF-1B6D-539E55E49F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" y="6477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85725</xdr:colOff>
      <xdr:row>19</xdr:row>
      <xdr:rowOff>123825</xdr:rowOff>
    </xdr:from>
    <xdr:to>
      <xdr:col>3</xdr:col>
      <xdr:colOff>85725</xdr:colOff>
      <xdr:row>33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or_sk">
              <a:extLst>
                <a:ext uri="{FF2B5EF4-FFF2-40B4-BE49-F238E27FC236}">
                  <a16:creationId xmlns:a16="http://schemas.microsoft.com/office/drawing/2014/main" id="{16DF0A58-BC82-041C-55B6-5D682C902F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r_sk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25" y="42767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528637</xdr:colOff>
      <xdr:row>36</xdr:row>
      <xdr:rowOff>33337</xdr:rowOff>
    </xdr:from>
    <xdr:to>
      <xdr:col>9</xdr:col>
      <xdr:colOff>461962</xdr:colOff>
      <xdr:row>50</xdr:row>
      <xdr:rowOff>109537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4D57B046-8372-6710-FAB8-ABB822D82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228600</xdr:colOff>
      <xdr:row>36</xdr:row>
      <xdr:rowOff>66675</xdr:rowOff>
    </xdr:from>
    <xdr:to>
      <xdr:col>3</xdr:col>
      <xdr:colOff>228600</xdr:colOff>
      <xdr:row>50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cl_sk">
              <a:extLst>
                <a:ext uri="{FF2B5EF4-FFF2-40B4-BE49-F238E27FC236}">
                  <a16:creationId xmlns:a16="http://schemas.microsoft.com/office/drawing/2014/main" id="{AFB2FA75-DC3A-0661-DC2C-42028A5526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_sk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772477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80.936569560188" backgroundQuery="1" createdVersion="8" refreshedVersion="8" minRefreshableVersion="3" recordCount="0" supportSubquery="1" supportAdvancedDrill="1" xr:uid="{62119173-BDC4-4D68-8AB6-787749EF4E06}">
  <cacheSource type="external" connectionId="13"/>
  <cacheFields count="2">
    <cacheField name="[Measures].[Soma de tv_valor]" caption="Soma de tv_valor" numFmtId="0" hierarchy="60" level="32767"/>
    <cacheField name="[trans_venda_fact].[cl_sk].[cl_sk]" caption="cl_sk" numFmtId="0" hierarchy="49" level="1">
      <sharedItems containsSemiMixedTypes="0" containsNonDate="0" containsString="0"/>
    </cacheField>
  </cacheFields>
  <cacheHierarchies count="67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rretor_dimension  2].[cor_sk]" caption="cor_sk" attribute="1" defaultMemberUniqueName="[corretor_dimension  2].[cor_sk].[All]" allUniqueName="[corretor_dimension  2].[cor_sk].[All]" dimensionUniqueName="[corretor_dimension  2]" displayFolder="" count="0" memberValueDatatype="20" unbalanced="0"/>
    <cacheHierarchy uniqueName="[corretor_dimension  2].[cor_cpf]" caption="cor_cpf" attribute="1" defaultMemberUniqueName="[corretor_dimension  2].[cor_cpf].[All]" allUniqueName="[corretor_dimension  2].[cor_cpf].[All]" dimensionUniqueName="[corretor_dimension  2]" displayFolder="" count="0" memberValueDatatype="20" unbalanced="0"/>
    <cacheHierarchy uniqueName="[corretor_dimension  2].[cor_registro]" caption="cor_registro" attribute="1" defaultMemberUniqueName="[corretor_dimension  2].[cor_registro].[All]" allUniqueName="[corretor_dimension  2].[cor_registro].[All]" dimensionUniqueName="[corretor_dimension  2]" displayFolder="" count="0" memberValueDatatype="130" unbalanced="0"/>
    <cacheHierarchy uniqueName="[corretor_dimension  2].[cor_nome]" caption="cor_nome" attribute="1" defaultMemberUniqueName="[corretor_dimension  2].[cor_nome].[All]" allUniqueName="[corretor_dimension  2].[cor_nome].[All]" dimensionUniqueName="[corretor_dimension  2]" displayFolder="" count="0" memberValueDatatype="130" unbalanced="0"/>
    <cacheHierarchy uniqueName="[corretor_dimension  2].[cor_sobrenome]" caption="cor_sobrenome" attribute="1" defaultMemberUniqueName="[corretor_dimension  2].[cor_sobrenome].[All]" allUniqueName="[corretor_dimension  2].[cor_sobrenome].[All]" dimensionUniqueName="[corretor_dimension  2]" displayFolder="" count="0" memberValueDatatype="130" unbalanced="0"/>
    <cacheHierarchy uniqueName="[corretor_dimension  2].[cor_dt_inicio]" caption="cor_dt_inicio" attribute="1" time="1" defaultMemberUniqueName="[corretor_dimension  2].[cor_dt_inicio].[All]" allUniqueName="[corretor_dimension  2].[cor_dt_inicio].[All]" dimensionUniqueName="[corretor_dimension  2]" displayFolder="" count="0" memberValueDatatype="7" unbalanced="0"/>
    <cacheHierarchy uniqueName="[corretor_dimension  2].[cor_dt_fim]" caption="cor_dt_fim" attribute="1" defaultMemberUniqueName="[corretor_dimension  2].[cor_dt_fim].[All]" allUniqueName="[corretor_dimension  2].[cor_dt_fim].[All]" dimensionUniqueName="[corretor_dimension  2]" displayFolder="" count="0" memberValueDatatype="130" unbalanced="0"/>
    <cacheHierarchy uniqueName="[corretor_dimension  2].[cor_is_atual]" caption="cor_is_atual" attribute="1" defaultMemberUniqueName="[corretor_dimension  2].[cor_is_atual].[All]" allUniqueName="[corretor_dimension  2].[cor_is_atual].[All]" dimensionUniqueName="[corretor_dimension  2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0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0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0" memberValueDatatype="130" unbalanced="0"/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5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5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5" unbalanced="0"/>
    <cacheHierarchy uniqueName="[trans_venda_fact].[tv_valor_cliente]" caption="tv_valor_cliente" attribute="1" defaultMemberUniqueName="[trans_venda_fact].[tv_valor_cliente].[All]" allUniqueName="[trans_venda_fact].[tv_valor_cliente].[All]" dimensionUniqueName="[trans_venda_fact]" displayFolder="" count="0" memberValueDatatype="5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5" unbalanced="0"/>
    <cacheHierarchy uniqueName="[trans_venda_fact].[tv_comissao_cliente]" caption="tv_comissao_cliente" attribute="1" defaultMemberUniqueName="[trans_venda_fact].[tv_comissao_cliente].[All]" allUniqueName="[trans_venda_fact].[tv_comissao_cliente].[All]" dimensionUniqueName="[trans_venda_fact]" displayFolder="" count="0" memberValueDatatype="5" unbalanced="0"/>
    <cacheHierarchy uniqueName="[trans_venda_fact].[tv_tipo_cliente]" caption="tv_tipo_cliente" attribute="1" defaultMemberUniqueName="[trans_venda_fact].[tv_tipo_cliente].[All]" allUniqueName="[trans_venda_fact].[tv_tipo_cliente].[All]" dimensionUniqueName="[trans_venda_fact]" displayFolder="" count="0" memberValueDatatype="130" unbalanced="0"/>
    <cacheHierarchy uniqueName="[trans_venda_fact].[tv_total_compradores]" caption="tv_total_compradores" attribute="1" defaultMemberUniqueName="[trans_venda_fact].[tv_total_compradores].[All]" allUniqueName="[trans_venda_fact].[tv_total_compradores].[All]" dimensionUniqueName="[trans_venda_fact]" displayFolder="" count="0" memberValueDatatype="20" unbalanced="0"/>
    <cacheHierarchy uniqueName="[trans_venda_fact].[tv_total_vendedores]" caption="tv_total_vendedores" attribute="1" defaultMemberUniqueName="[trans_venda_fact].[tv_total_vendedores].[All]" allUniqueName="[trans_venda_fact].[tv_total_vendedores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2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cl_sk]" caption="cl_sk" attribute="1" defaultMemberUniqueName="[trans_venda_fact].[cl_sk].[All]" allUniqueName="[trans_venda_fact].[cl_sk].[All]" dimensionUniqueName="[trans_venda_fact]" displayFolder="" count="2" memberValueDatatype="20" unbalanced="0">
      <fieldsUsage count="2">
        <fieldUsage x="-1"/>
        <fieldUsage x="1"/>
      </fieldsUsage>
    </cacheHierarchy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data_dimension]" caption="__XL_Count data_dimension" measure="1" displayFolder="" measureGroup="data_dimension" count="0" hidden="1"/>
    <cacheHierarchy uniqueName="[Measures].[__XL_Count corretor_dimension  2]" caption="__XL_Count corretor_dimension  2" measure="1" displayFolder="" measureGroup="corretor_dimension  2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cliente_dimension]" caption="__XL_Count cliente_dimension" measure="1" displayFolder="" measureGroup="cliente_dimension" count="0" hidden="1"/>
    <cacheHierarchy uniqueName="[Measures].[__XL_Count trans_venda_fact]" caption="__XL_Count trans_venda_fact" measure="1" displayFolder="" measureGroup="trans_venda_fact" count="0" hidden="1"/>
    <cacheHierarchy uniqueName="[Measures].[__No measures defined]" caption="__No measures defined" measure="1" displayFolder="" count="0" hidden="1"/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v_valor]" caption="Soma de tv_valor" measure="1" displayFolder="" measureGroup="trans_venda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e tv_id]" caption="Contagem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tv_tipo_cliente]" caption="Contagem de tv_tipo_cliente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7">
    <dimension name="cliente_dimension" uniqueName="[cliente_dimension]" caption="cliente_dimension"/>
    <dimension name="corretor_dimension  2" uniqueName="[corretor_dimension  2]" caption="corretor_dimension  2"/>
    <dimension name="data_dimension" uniqueName="[data_dimension]" caption="data_dimension"/>
    <dimension name="imovel_dimension" uniqueName="[imovel_dimension]" caption="imovel_dimension"/>
    <dimension measure="1" name="Measures" uniqueName="[Measures]" caption="Measures"/>
    <dimension name="receita_agregada_fact" uniqueName="[receita_agregada_fact]" caption="receita_agregada_fact"/>
    <dimension name="trans_venda_fact" uniqueName="[trans_venda_fact]" caption="trans_venda_fact"/>
  </dimensions>
  <measureGroups count="6">
    <measureGroup name="cliente_dimension" caption="cliente_dimension"/>
    <measureGroup name="corretor_dimension  2" caption="corretor_dimension  2"/>
    <measureGroup name="data_dimension" caption="data_dimension"/>
    <measureGroup name="imovel_dimension" caption="imovel_dimension"/>
    <measureGroup name="receita_agregada_fact" caption="receita_agregada_fact"/>
    <measureGroup name="trans_venda_fact" caption="trans_venda_fact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5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80.939370717591" backgroundQuery="1" createdVersion="8" refreshedVersion="8" minRefreshableVersion="3" recordCount="0" supportSubquery="1" supportAdvancedDrill="1" xr:uid="{540ED166-89AD-4375-9603-BD89EB00A339}">
  <cacheSource type="external" connectionId="13"/>
  <cacheFields count="2">
    <cacheField name="[Measures].[Soma de tv_valor]" caption="Soma de tv_valor" numFmtId="0" hierarchy="60" level="32767"/>
    <cacheField name="[trans_venda_fact].[cl_sk].[cl_sk]" caption="cl_sk" numFmtId="0" hierarchy="49" level="1">
      <sharedItems containsSemiMixedTypes="0" containsNonDate="0" containsString="0"/>
    </cacheField>
  </cacheFields>
  <cacheHierarchies count="67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rretor_dimension  2].[cor_sk]" caption="cor_sk" attribute="1" defaultMemberUniqueName="[corretor_dimension  2].[cor_sk].[All]" allUniqueName="[corretor_dimension  2].[cor_sk].[All]" dimensionUniqueName="[corretor_dimension  2]" displayFolder="" count="0" memberValueDatatype="20" unbalanced="0"/>
    <cacheHierarchy uniqueName="[corretor_dimension  2].[cor_cpf]" caption="cor_cpf" attribute="1" defaultMemberUniqueName="[corretor_dimension  2].[cor_cpf].[All]" allUniqueName="[corretor_dimension  2].[cor_cpf].[All]" dimensionUniqueName="[corretor_dimension  2]" displayFolder="" count="0" memberValueDatatype="20" unbalanced="0"/>
    <cacheHierarchy uniqueName="[corretor_dimension  2].[cor_registro]" caption="cor_registro" attribute="1" defaultMemberUniqueName="[corretor_dimension  2].[cor_registro].[All]" allUniqueName="[corretor_dimension  2].[cor_registro].[All]" dimensionUniqueName="[corretor_dimension  2]" displayFolder="" count="0" memberValueDatatype="130" unbalanced="0"/>
    <cacheHierarchy uniqueName="[corretor_dimension  2].[cor_nome]" caption="cor_nome" attribute="1" defaultMemberUniqueName="[corretor_dimension  2].[cor_nome].[All]" allUniqueName="[corretor_dimension  2].[cor_nome].[All]" dimensionUniqueName="[corretor_dimension  2]" displayFolder="" count="0" memberValueDatatype="130" unbalanced="0"/>
    <cacheHierarchy uniqueName="[corretor_dimension  2].[cor_sobrenome]" caption="cor_sobrenome" attribute="1" defaultMemberUniqueName="[corretor_dimension  2].[cor_sobrenome].[All]" allUniqueName="[corretor_dimension  2].[cor_sobrenome].[All]" dimensionUniqueName="[corretor_dimension  2]" displayFolder="" count="0" memberValueDatatype="130" unbalanced="0"/>
    <cacheHierarchy uniqueName="[corretor_dimension  2].[cor_dt_inicio]" caption="cor_dt_inicio" attribute="1" time="1" defaultMemberUniqueName="[corretor_dimension  2].[cor_dt_inicio].[All]" allUniqueName="[corretor_dimension  2].[cor_dt_inicio].[All]" dimensionUniqueName="[corretor_dimension  2]" displayFolder="" count="0" memberValueDatatype="7" unbalanced="0"/>
    <cacheHierarchy uniqueName="[corretor_dimension  2].[cor_dt_fim]" caption="cor_dt_fim" attribute="1" defaultMemberUniqueName="[corretor_dimension  2].[cor_dt_fim].[All]" allUniqueName="[corretor_dimension  2].[cor_dt_fim].[All]" dimensionUniqueName="[corretor_dimension  2]" displayFolder="" count="0" memberValueDatatype="130" unbalanced="0"/>
    <cacheHierarchy uniqueName="[corretor_dimension  2].[cor_is_atual]" caption="cor_is_atual" attribute="1" defaultMemberUniqueName="[corretor_dimension  2].[cor_is_atual].[All]" allUniqueName="[corretor_dimension  2].[cor_is_atual].[All]" dimensionUniqueName="[corretor_dimension  2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0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0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0" memberValueDatatype="130" unbalanced="0"/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5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5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5" unbalanced="0"/>
    <cacheHierarchy uniqueName="[trans_venda_fact].[tv_valor_cliente]" caption="tv_valor_cliente" attribute="1" defaultMemberUniqueName="[trans_venda_fact].[tv_valor_cliente].[All]" allUniqueName="[trans_venda_fact].[tv_valor_cliente].[All]" dimensionUniqueName="[trans_venda_fact]" displayFolder="" count="0" memberValueDatatype="5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5" unbalanced="0"/>
    <cacheHierarchy uniqueName="[trans_venda_fact].[tv_comissao_cliente]" caption="tv_comissao_cliente" attribute="1" defaultMemberUniqueName="[trans_venda_fact].[tv_comissao_cliente].[All]" allUniqueName="[trans_venda_fact].[tv_comissao_cliente].[All]" dimensionUniqueName="[trans_venda_fact]" displayFolder="" count="0" memberValueDatatype="5" unbalanced="0"/>
    <cacheHierarchy uniqueName="[trans_venda_fact].[tv_tipo_cliente]" caption="tv_tipo_cliente" attribute="1" defaultMemberUniqueName="[trans_venda_fact].[tv_tipo_cliente].[All]" allUniqueName="[trans_venda_fact].[tv_tipo_cliente].[All]" dimensionUniqueName="[trans_venda_fact]" displayFolder="" count="0" memberValueDatatype="130" unbalanced="0"/>
    <cacheHierarchy uniqueName="[trans_venda_fact].[tv_total_compradores]" caption="tv_total_compradores" attribute="1" defaultMemberUniqueName="[trans_venda_fact].[tv_total_compradores].[All]" allUniqueName="[trans_venda_fact].[tv_total_compradores].[All]" dimensionUniqueName="[trans_venda_fact]" displayFolder="" count="0" memberValueDatatype="20" unbalanced="0"/>
    <cacheHierarchy uniqueName="[trans_venda_fact].[tv_total_vendedores]" caption="tv_total_vendedores" attribute="1" defaultMemberUniqueName="[trans_venda_fact].[tv_total_vendedores].[All]" allUniqueName="[trans_venda_fact].[tv_total_vendedores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2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cl_sk]" caption="cl_sk" attribute="1" defaultMemberUniqueName="[trans_venda_fact].[cl_sk].[All]" allUniqueName="[trans_venda_fact].[cl_sk].[All]" dimensionUniqueName="[trans_venda_fact]" displayFolder="" count="2" memberValueDatatype="20" unbalanced="0">
      <fieldsUsage count="2">
        <fieldUsage x="-1"/>
        <fieldUsage x="1"/>
      </fieldsUsage>
    </cacheHierarchy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data_dimension]" caption="__XL_Count data_dimension" measure="1" displayFolder="" measureGroup="data_dimension" count="0" hidden="1"/>
    <cacheHierarchy uniqueName="[Measures].[__XL_Count corretor_dimension  2]" caption="__XL_Count corretor_dimension  2" measure="1" displayFolder="" measureGroup="corretor_dimension  2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cliente_dimension]" caption="__XL_Count cliente_dimension" measure="1" displayFolder="" measureGroup="cliente_dimension" count="0" hidden="1"/>
    <cacheHierarchy uniqueName="[Measures].[__XL_Count trans_venda_fact]" caption="__XL_Count trans_venda_fact" measure="1" displayFolder="" measureGroup="trans_venda_fact" count="0" hidden="1"/>
    <cacheHierarchy uniqueName="[Measures].[__No measures defined]" caption="__No measures defined" measure="1" displayFolder="" count="0" hidden="1"/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v_valor]" caption="Soma de tv_valor" measure="1" displayFolder="" measureGroup="trans_venda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e tv_id]" caption="Contagem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tv_tipo_cliente]" caption="Contagem de tv_tipo_cliente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7">
    <dimension name="cliente_dimension" uniqueName="[cliente_dimension]" caption="cliente_dimension"/>
    <dimension name="corretor_dimension  2" uniqueName="[corretor_dimension  2]" caption="corretor_dimension  2"/>
    <dimension name="data_dimension" uniqueName="[data_dimension]" caption="data_dimension"/>
    <dimension name="imovel_dimension" uniqueName="[imovel_dimension]" caption="imovel_dimension"/>
    <dimension measure="1" name="Measures" uniqueName="[Measures]" caption="Measures"/>
    <dimension name="receita_agregada_fact" uniqueName="[receita_agregada_fact]" caption="receita_agregada_fact"/>
    <dimension name="trans_venda_fact" uniqueName="[trans_venda_fact]" caption="trans_venda_fact"/>
  </dimensions>
  <measureGroups count="6">
    <measureGroup name="cliente_dimension" caption="cliente_dimension"/>
    <measureGroup name="corretor_dimension  2" caption="corretor_dimension  2"/>
    <measureGroup name="data_dimension" caption="data_dimension"/>
    <measureGroup name="imovel_dimension" caption="imovel_dimension"/>
    <measureGroup name="receita_agregada_fact" caption="receita_agregada_fact"/>
    <measureGroup name="trans_venda_fact" caption="trans_venda_fact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5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80.93937083333" backgroundQuery="1" createdVersion="8" refreshedVersion="8" minRefreshableVersion="3" recordCount="0" supportSubquery="1" supportAdvancedDrill="1" xr:uid="{1BABAFA5-1C93-4026-98D9-EB8AABB86ADE}">
  <cacheSource type="external" connectionId="13"/>
  <cacheFields count="2">
    <cacheField name="[trans_venda_fact].[cl_sk].[cl_sk]" caption="cl_sk" numFmtId="0" hierarchy="49" level="1">
      <sharedItems containsSemiMixedTypes="0" containsNonDate="0" containsString="0"/>
    </cacheField>
    <cacheField name="[Measures].[Soma de ra_comissao_total]" caption="Soma de ra_comissao_total" numFmtId="0" hierarchy="64" level="32767"/>
  </cacheFields>
  <cacheHierarchies count="67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rretor_dimension  2].[cor_sk]" caption="cor_sk" attribute="1" defaultMemberUniqueName="[corretor_dimension  2].[cor_sk].[All]" allUniqueName="[corretor_dimension  2].[cor_sk].[All]" dimensionUniqueName="[corretor_dimension  2]" displayFolder="" count="0" memberValueDatatype="20" unbalanced="0"/>
    <cacheHierarchy uniqueName="[corretor_dimension  2].[cor_cpf]" caption="cor_cpf" attribute="1" defaultMemberUniqueName="[corretor_dimension  2].[cor_cpf].[All]" allUniqueName="[corretor_dimension  2].[cor_cpf].[All]" dimensionUniqueName="[corretor_dimension  2]" displayFolder="" count="0" memberValueDatatype="20" unbalanced="0"/>
    <cacheHierarchy uniqueName="[corretor_dimension  2].[cor_registro]" caption="cor_registro" attribute="1" defaultMemberUniqueName="[corretor_dimension  2].[cor_registro].[All]" allUniqueName="[corretor_dimension  2].[cor_registro].[All]" dimensionUniqueName="[corretor_dimension  2]" displayFolder="" count="0" memberValueDatatype="130" unbalanced="0"/>
    <cacheHierarchy uniqueName="[corretor_dimension  2].[cor_nome]" caption="cor_nome" attribute="1" defaultMemberUniqueName="[corretor_dimension  2].[cor_nome].[All]" allUniqueName="[corretor_dimension  2].[cor_nome].[All]" dimensionUniqueName="[corretor_dimension  2]" displayFolder="" count="0" memberValueDatatype="130" unbalanced="0"/>
    <cacheHierarchy uniqueName="[corretor_dimension  2].[cor_sobrenome]" caption="cor_sobrenome" attribute="1" defaultMemberUniqueName="[corretor_dimension  2].[cor_sobrenome].[All]" allUniqueName="[corretor_dimension  2].[cor_sobrenome].[All]" dimensionUniqueName="[corretor_dimension  2]" displayFolder="" count="0" memberValueDatatype="130" unbalanced="0"/>
    <cacheHierarchy uniqueName="[corretor_dimension  2].[cor_dt_inicio]" caption="cor_dt_inicio" attribute="1" time="1" defaultMemberUniqueName="[corretor_dimension  2].[cor_dt_inicio].[All]" allUniqueName="[corretor_dimension  2].[cor_dt_inicio].[All]" dimensionUniqueName="[corretor_dimension  2]" displayFolder="" count="0" memberValueDatatype="7" unbalanced="0"/>
    <cacheHierarchy uniqueName="[corretor_dimension  2].[cor_dt_fim]" caption="cor_dt_fim" attribute="1" defaultMemberUniqueName="[corretor_dimension  2].[cor_dt_fim].[All]" allUniqueName="[corretor_dimension  2].[cor_dt_fim].[All]" dimensionUniqueName="[corretor_dimension  2]" displayFolder="" count="0" memberValueDatatype="130" unbalanced="0"/>
    <cacheHierarchy uniqueName="[corretor_dimension  2].[cor_is_atual]" caption="cor_is_atual" attribute="1" defaultMemberUniqueName="[corretor_dimension  2].[cor_is_atual].[All]" allUniqueName="[corretor_dimension  2].[cor_is_atual].[All]" dimensionUniqueName="[corretor_dimension  2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0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0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0" memberValueDatatype="130" unbalanced="0"/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5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5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5" unbalanced="0"/>
    <cacheHierarchy uniqueName="[trans_venda_fact].[tv_valor_cliente]" caption="tv_valor_cliente" attribute="1" defaultMemberUniqueName="[trans_venda_fact].[tv_valor_cliente].[All]" allUniqueName="[trans_venda_fact].[tv_valor_cliente].[All]" dimensionUniqueName="[trans_venda_fact]" displayFolder="" count="0" memberValueDatatype="5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5" unbalanced="0"/>
    <cacheHierarchy uniqueName="[trans_venda_fact].[tv_comissao_cliente]" caption="tv_comissao_cliente" attribute="1" defaultMemberUniqueName="[trans_venda_fact].[tv_comissao_cliente].[All]" allUniqueName="[trans_venda_fact].[tv_comissao_cliente].[All]" dimensionUniqueName="[trans_venda_fact]" displayFolder="" count="0" memberValueDatatype="5" unbalanced="0"/>
    <cacheHierarchy uniqueName="[trans_venda_fact].[tv_tipo_cliente]" caption="tv_tipo_cliente" attribute="1" defaultMemberUniqueName="[trans_venda_fact].[tv_tipo_cliente].[All]" allUniqueName="[trans_venda_fact].[tv_tipo_cliente].[All]" dimensionUniqueName="[trans_venda_fact]" displayFolder="" count="0" memberValueDatatype="130" unbalanced="0"/>
    <cacheHierarchy uniqueName="[trans_venda_fact].[tv_total_compradores]" caption="tv_total_compradores" attribute="1" defaultMemberUniqueName="[trans_venda_fact].[tv_total_compradores].[All]" allUniqueName="[trans_venda_fact].[tv_total_compradores].[All]" dimensionUniqueName="[trans_venda_fact]" displayFolder="" count="0" memberValueDatatype="20" unbalanced="0"/>
    <cacheHierarchy uniqueName="[trans_venda_fact].[tv_total_vendedores]" caption="tv_total_vendedores" attribute="1" defaultMemberUniqueName="[trans_venda_fact].[tv_total_vendedores].[All]" allUniqueName="[trans_venda_fact].[tv_total_vendedores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2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cl_sk]" caption="cl_sk" attribute="1" defaultMemberUniqueName="[trans_venda_fact].[cl_sk].[All]" allUniqueName="[trans_venda_fact].[cl_sk].[All]" dimensionUniqueName="[trans_venda_fact]" displayFolder="" count="2" memberValueDatatype="20" unbalanced="0">
      <fieldsUsage count="2">
        <fieldUsage x="-1"/>
        <fieldUsage x="0"/>
      </fieldsUsage>
    </cacheHierarchy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data_dimension]" caption="__XL_Count data_dimension" measure="1" displayFolder="" measureGroup="data_dimension" count="0" hidden="1"/>
    <cacheHierarchy uniqueName="[Measures].[__XL_Count corretor_dimension  2]" caption="__XL_Count corretor_dimension  2" measure="1" displayFolder="" measureGroup="corretor_dimension  2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cliente_dimension]" caption="__XL_Count cliente_dimension" measure="1" displayFolder="" measureGroup="cliente_dimension" count="0" hidden="1"/>
    <cacheHierarchy uniqueName="[Measures].[__XL_Count trans_venda_fact]" caption="__XL_Count trans_venda_fact" measure="1" displayFolder="" measureGroup="trans_venda_fact" count="0" hidden="1"/>
    <cacheHierarchy uniqueName="[Measures].[__No measures defined]" caption="__No measures defined" measure="1" displayFolder="" count="0" hidden="1"/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v_valor]" caption="Soma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e tv_id]" caption="Contagem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ra_comissao_total]" caption="Soma de ra_comissao_total" measure="1" displayFolder="" measureGroup="receita_agregada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tv_tipo_cliente]" caption="Contagem de tv_tipo_cliente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7">
    <dimension name="cliente_dimension" uniqueName="[cliente_dimension]" caption="cliente_dimension"/>
    <dimension name="corretor_dimension  2" uniqueName="[corretor_dimension  2]" caption="corretor_dimension  2"/>
    <dimension name="data_dimension" uniqueName="[data_dimension]" caption="data_dimension"/>
    <dimension name="imovel_dimension" uniqueName="[imovel_dimension]" caption="imovel_dimension"/>
    <dimension measure="1" name="Measures" uniqueName="[Measures]" caption="Measures"/>
    <dimension name="receita_agregada_fact" uniqueName="[receita_agregada_fact]" caption="receita_agregada_fact"/>
    <dimension name="trans_venda_fact" uniqueName="[trans_venda_fact]" caption="trans_venda_fact"/>
  </dimensions>
  <measureGroups count="6">
    <measureGroup name="cliente_dimension" caption="cliente_dimension"/>
    <measureGroup name="corretor_dimension  2" caption="corretor_dimension  2"/>
    <measureGroup name="data_dimension" caption="data_dimension"/>
    <measureGroup name="imovel_dimension" caption="imovel_dimension"/>
    <measureGroup name="receita_agregada_fact" caption="receita_agregada_fact"/>
    <measureGroup name="trans_venda_fact" caption="trans_venda_fact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5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80.922318055556" backgroundQuery="1" createdVersion="3" refreshedVersion="8" minRefreshableVersion="3" recordCount="0" supportSubquery="1" supportAdvancedDrill="1" xr:uid="{1A41FEFB-AD3A-48CA-B5D3-0701168E7871}">
  <cacheSource type="external" connectionId="1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5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rretor_dimension  2].[cor_sk]" caption="cor_sk" attribute="1" defaultMemberUniqueName="[corretor_dimension  2].[cor_sk].[All]" allUniqueName="[corretor_dimension  2].[cor_sk].[All]" dimensionUniqueName="[corretor_dimension  2]" displayFolder="" count="0" memberValueDatatype="20" unbalanced="0"/>
    <cacheHierarchy uniqueName="[corretor_dimension  2].[cor_cpf]" caption="cor_cpf" attribute="1" defaultMemberUniqueName="[corretor_dimension  2].[cor_cpf].[All]" allUniqueName="[corretor_dimension  2].[cor_cpf].[All]" dimensionUniqueName="[corretor_dimension  2]" displayFolder="" count="0" memberValueDatatype="20" unbalanced="0"/>
    <cacheHierarchy uniqueName="[corretor_dimension  2].[cor_registro]" caption="cor_registro" attribute="1" defaultMemberUniqueName="[corretor_dimension  2].[cor_registro].[All]" allUniqueName="[corretor_dimension  2].[cor_registro].[All]" dimensionUniqueName="[corretor_dimension  2]" displayFolder="" count="0" memberValueDatatype="130" unbalanced="0"/>
    <cacheHierarchy uniqueName="[corretor_dimension  2].[cor_nome]" caption="cor_nome" attribute="1" defaultMemberUniqueName="[corretor_dimension  2].[cor_nome].[All]" allUniqueName="[corretor_dimension  2].[cor_nome].[All]" dimensionUniqueName="[corretor_dimension  2]" displayFolder="" count="0" memberValueDatatype="130" unbalanced="0"/>
    <cacheHierarchy uniqueName="[corretor_dimension  2].[cor_sobrenome]" caption="cor_sobrenome" attribute="1" defaultMemberUniqueName="[corretor_dimension  2].[cor_sobrenome].[All]" allUniqueName="[corretor_dimension  2].[cor_sobrenome].[All]" dimensionUniqueName="[corretor_dimension  2]" displayFolder="" count="0" memberValueDatatype="130" unbalanced="0"/>
    <cacheHierarchy uniqueName="[corretor_dimension  2].[cor_dt_inicio]" caption="cor_dt_inicio" attribute="1" time="1" defaultMemberUniqueName="[corretor_dimension  2].[cor_dt_inicio].[All]" allUniqueName="[corretor_dimension  2].[cor_dt_inicio].[All]" dimensionUniqueName="[corretor_dimension  2]" displayFolder="" count="0" memberValueDatatype="7" unbalanced="0"/>
    <cacheHierarchy uniqueName="[corretor_dimension  2].[cor_dt_fim]" caption="cor_dt_fim" attribute="1" defaultMemberUniqueName="[corretor_dimension  2].[cor_dt_fim].[All]" allUniqueName="[corretor_dimension  2].[cor_dt_fim].[All]" dimensionUniqueName="[corretor_dimension  2]" displayFolder="" count="0" memberValueDatatype="130" unbalanced="0"/>
    <cacheHierarchy uniqueName="[corretor_dimension  2].[cor_is_atual]" caption="cor_is_atual" attribute="1" defaultMemberUniqueName="[corretor_dimension  2].[cor_is_atual].[All]" allUniqueName="[corretor_dimension  2].[cor_is_atual].[All]" dimensionUniqueName="[corretor_dimension  2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0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0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2" memberValueDatatype="130" unbalanced="0"/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5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5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5" unbalanced="0"/>
    <cacheHierarchy uniqueName="[trans_venda_fact].[tv_valor_cliente]" caption="tv_valor_cliente" attribute="1" defaultMemberUniqueName="[trans_venda_fact].[tv_valor_cliente].[All]" allUniqueName="[trans_venda_fact].[tv_valor_cliente].[All]" dimensionUniqueName="[trans_venda_fact]" displayFolder="" count="0" memberValueDatatype="5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5" unbalanced="0"/>
    <cacheHierarchy uniqueName="[trans_venda_fact].[tv_comissao_cliente]" caption="tv_comissao_cliente" attribute="1" defaultMemberUniqueName="[trans_venda_fact].[tv_comissao_cliente].[All]" allUniqueName="[trans_venda_fact].[tv_comissao_cliente].[All]" dimensionUniqueName="[trans_venda_fact]" displayFolder="" count="0" memberValueDatatype="5" unbalanced="0"/>
    <cacheHierarchy uniqueName="[trans_venda_fact].[tv_tipo_cliente]" caption="tv_tipo_cliente" attribute="1" defaultMemberUniqueName="[trans_venda_fact].[tv_tipo_cliente].[All]" allUniqueName="[trans_venda_fact].[tv_tipo_cliente].[All]" dimensionUniqueName="[trans_venda_fact]" displayFolder="" count="0" memberValueDatatype="130" unbalanced="0"/>
    <cacheHierarchy uniqueName="[trans_venda_fact].[tv_total_compradores]" caption="tv_total_compradores" attribute="1" defaultMemberUniqueName="[trans_venda_fact].[tv_total_compradores].[All]" allUniqueName="[trans_venda_fact].[tv_total_compradores].[All]" dimensionUniqueName="[trans_venda_fact]" displayFolder="" count="0" memberValueDatatype="20" unbalanced="0"/>
    <cacheHierarchy uniqueName="[trans_venda_fact].[tv_total_vendedores]" caption="tv_total_vendedores" attribute="1" defaultMemberUniqueName="[trans_venda_fact].[tv_total_vendedores].[All]" allUniqueName="[trans_venda_fact].[tv_total_vendedores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2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cl_sk]" caption="cl_sk" attribute="1" defaultMemberUniqueName="[trans_venda_fact].[cl_sk].[All]" allUniqueName="[trans_venda_fact].[cl_sk].[All]" dimensionUniqueName="[trans_venda_fact]" displayFolder="" count="0" memberValueDatatype="20" unbalanced="0"/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data_dimension]" caption="__XL_Count data_dimension" measure="1" displayFolder="" measureGroup="data_dimension" count="0" hidden="1"/>
    <cacheHierarchy uniqueName="[Measures].[__XL_Count corretor_dimension  2]" caption="__XL_Count corretor_dimension  2" measure="1" displayFolder="" measureGroup="corretor_dimension  2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cliente_dimension]" caption="__XL_Count cliente_dimension" measure="1" displayFolder="" measureGroup="cliente_dimension" count="0" hidden="1"/>
    <cacheHierarchy uniqueName="[Measures].[__XL_Count trans_venda_fact]" caption="__XL_Count trans_venda_fact" measure="1" displayFolder="" measureGroup="trans_venda_fact" count="0" hidden="1"/>
    <cacheHierarchy uniqueName="[Measures].[__No measures defined]" caption="__No measures defined" measure="1" displayFolder="" count="0" hidden="1"/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v_valor]" caption="Soma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e tv_id]" caption="Contagem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829667559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80.932507523146" backgroundQuery="1" createdVersion="3" refreshedVersion="8" minRefreshableVersion="3" recordCount="0" supportSubquery="1" supportAdvancedDrill="1" xr:uid="{A3354C43-9BB3-4F25-936A-74F17771CC0F}">
  <cacheSource type="external" connectionId="1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7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rretor_dimension  2].[cor_sk]" caption="cor_sk" attribute="1" defaultMemberUniqueName="[corretor_dimension  2].[cor_sk].[All]" allUniqueName="[corretor_dimension  2].[cor_sk].[All]" dimensionUniqueName="[corretor_dimension  2]" displayFolder="" count="0" memberValueDatatype="20" unbalanced="0"/>
    <cacheHierarchy uniqueName="[corretor_dimension  2].[cor_cpf]" caption="cor_cpf" attribute="1" defaultMemberUniqueName="[corretor_dimension  2].[cor_cpf].[All]" allUniqueName="[corretor_dimension  2].[cor_cpf].[All]" dimensionUniqueName="[corretor_dimension  2]" displayFolder="" count="0" memberValueDatatype="20" unbalanced="0"/>
    <cacheHierarchy uniqueName="[corretor_dimension  2].[cor_registro]" caption="cor_registro" attribute="1" defaultMemberUniqueName="[corretor_dimension  2].[cor_registro].[All]" allUniqueName="[corretor_dimension  2].[cor_registro].[All]" dimensionUniqueName="[corretor_dimension  2]" displayFolder="" count="0" memberValueDatatype="130" unbalanced="0"/>
    <cacheHierarchy uniqueName="[corretor_dimension  2].[cor_nome]" caption="cor_nome" attribute="1" defaultMemberUniqueName="[corretor_dimension  2].[cor_nome].[All]" allUniqueName="[corretor_dimension  2].[cor_nome].[All]" dimensionUniqueName="[corretor_dimension  2]" displayFolder="" count="0" memberValueDatatype="130" unbalanced="0"/>
    <cacheHierarchy uniqueName="[corretor_dimension  2].[cor_sobrenome]" caption="cor_sobrenome" attribute="1" defaultMemberUniqueName="[corretor_dimension  2].[cor_sobrenome].[All]" allUniqueName="[corretor_dimension  2].[cor_sobrenome].[All]" dimensionUniqueName="[corretor_dimension  2]" displayFolder="" count="0" memberValueDatatype="130" unbalanced="0"/>
    <cacheHierarchy uniqueName="[corretor_dimension  2].[cor_dt_inicio]" caption="cor_dt_inicio" attribute="1" time="1" defaultMemberUniqueName="[corretor_dimension  2].[cor_dt_inicio].[All]" allUniqueName="[corretor_dimension  2].[cor_dt_inicio].[All]" dimensionUniqueName="[corretor_dimension  2]" displayFolder="" count="0" memberValueDatatype="7" unbalanced="0"/>
    <cacheHierarchy uniqueName="[corretor_dimension  2].[cor_dt_fim]" caption="cor_dt_fim" attribute="1" defaultMemberUniqueName="[corretor_dimension  2].[cor_dt_fim].[All]" allUniqueName="[corretor_dimension  2].[cor_dt_fim].[All]" dimensionUniqueName="[corretor_dimension  2]" displayFolder="" count="0" memberValueDatatype="130" unbalanced="0"/>
    <cacheHierarchy uniqueName="[corretor_dimension  2].[cor_is_atual]" caption="cor_is_atual" attribute="1" defaultMemberUniqueName="[corretor_dimension  2].[cor_is_atual].[All]" allUniqueName="[corretor_dimension  2].[cor_is_atual].[All]" dimensionUniqueName="[corretor_dimension  2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0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0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0" memberValueDatatype="130" unbalanced="0"/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5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5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5" unbalanced="0"/>
    <cacheHierarchy uniqueName="[trans_venda_fact].[tv_valor_cliente]" caption="tv_valor_cliente" attribute="1" defaultMemberUniqueName="[trans_venda_fact].[tv_valor_cliente].[All]" allUniqueName="[trans_venda_fact].[tv_valor_cliente].[All]" dimensionUniqueName="[trans_venda_fact]" displayFolder="" count="0" memberValueDatatype="5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5" unbalanced="0"/>
    <cacheHierarchy uniqueName="[trans_venda_fact].[tv_comissao_cliente]" caption="tv_comissao_cliente" attribute="1" defaultMemberUniqueName="[trans_venda_fact].[tv_comissao_cliente].[All]" allUniqueName="[trans_venda_fact].[tv_comissao_cliente].[All]" dimensionUniqueName="[trans_venda_fact]" displayFolder="" count="0" memberValueDatatype="5" unbalanced="0"/>
    <cacheHierarchy uniqueName="[trans_venda_fact].[tv_tipo_cliente]" caption="tv_tipo_cliente" attribute="1" defaultMemberUniqueName="[trans_venda_fact].[tv_tipo_cliente].[All]" allUniqueName="[trans_venda_fact].[tv_tipo_cliente].[All]" dimensionUniqueName="[trans_venda_fact]" displayFolder="" count="0" memberValueDatatype="130" unbalanced="0"/>
    <cacheHierarchy uniqueName="[trans_venda_fact].[tv_total_compradores]" caption="tv_total_compradores" attribute="1" defaultMemberUniqueName="[trans_venda_fact].[tv_total_compradores].[All]" allUniqueName="[trans_venda_fact].[tv_total_compradores].[All]" dimensionUniqueName="[trans_venda_fact]" displayFolder="" count="0" memberValueDatatype="20" unbalanced="0"/>
    <cacheHierarchy uniqueName="[trans_venda_fact].[tv_total_vendedores]" caption="tv_total_vendedores" attribute="1" defaultMemberUniqueName="[trans_venda_fact].[tv_total_vendedores].[All]" allUniqueName="[trans_venda_fact].[tv_total_vendedores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0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cl_sk]" caption="cl_sk" attribute="1" defaultMemberUniqueName="[trans_venda_fact].[cl_sk].[All]" allUniqueName="[trans_venda_fact].[cl_sk].[All]" dimensionUniqueName="[trans_venda_fact]" displayFolder="" count="2" memberValueDatatype="20" unbalanced="0"/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data_dimension]" caption="__XL_Count data_dimension" measure="1" displayFolder="" measureGroup="data_dimension" count="0" hidden="1"/>
    <cacheHierarchy uniqueName="[Measures].[__XL_Count corretor_dimension  2]" caption="__XL_Count corretor_dimension  2" measure="1" displayFolder="" measureGroup="corretor_dimension  2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cliente_dimension]" caption="__XL_Count cliente_dimension" measure="1" displayFolder="" measureGroup="cliente_dimension" count="0" hidden="1"/>
    <cacheHierarchy uniqueName="[Measures].[__XL_Count trans_venda_fact]" caption="__XL_Count trans_venda_fact" measure="1" displayFolder="" measureGroup="trans_venda_fact" count="0" hidden="1"/>
    <cacheHierarchy uniqueName="[Measures].[__No measures defined]" caption="__No measures defined" measure="1" displayFolder="" count="0" hidden="1"/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v_valor]" caption="Soma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e tv_id]" caption="Contagem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tv_tipo_cliente]" caption="Contagem de tv_tipo_cliente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157433648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80.928896180558" backgroundQuery="1" createdVersion="8" refreshedVersion="8" minRefreshableVersion="3" recordCount="0" supportSubquery="1" supportAdvancedDrill="1" xr:uid="{18973F14-7D0B-4FB3-93D6-E0FD8081B370}">
  <cacheSource type="external" connectionId="1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data_dimension].[dt_data_completa (Mês)].[dt_data_completa (Mês)]" caption="dt_data_completa (Mês)" numFmtId="0" hierarchy="22" level="1">
      <sharedItems count="6">
        <s v="Mar"/>
        <s v="Apr"/>
        <s v="May"/>
        <s v="Jun"/>
        <s v="Jul"/>
        <s v="Aug"/>
      </sharedItems>
    </cacheField>
    <cacheField name="[trans_venda_fact].[cor_sk].[cor_sk]" caption="cor_sk" numFmtId="0" hierarchy="47" level="1">
      <sharedItems containsSemiMixedTypes="0" containsNonDate="0" containsString="0"/>
    </cacheField>
  </cacheFields>
  <cacheHierarchies count="67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rretor_dimension  2].[cor_sk]" caption="cor_sk" attribute="1" defaultMemberUniqueName="[corretor_dimension  2].[cor_sk].[All]" allUniqueName="[corretor_dimension  2].[cor_sk].[All]" dimensionUniqueName="[corretor_dimension  2]" displayFolder="" count="0" memberValueDatatype="20" unbalanced="0"/>
    <cacheHierarchy uniqueName="[corretor_dimension  2].[cor_cpf]" caption="cor_cpf" attribute="1" defaultMemberUniqueName="[corretor_dimension  2].[cor_cpf].[All]" allUniqueName="[corretor_dimension  2].[cor_cpf].[All]" dimensionUniqueName="[corretor_dimension  2]" displayFolder="" count="0" memberValueDatatype="20" unbalanced="0"/>
    <cacheHierarchy uniqueName="[corretor_dimension  2].[cor_registro]" caption="cor_registro" attribute="1" defaultMemberUniqueName="[corretor_dimension  2].[cor_registro].[All]" allUniqueName="[corretor_dimension  2].[cor_registro].[All]" dimensionUniqueName="[corretor_dimension  2]" displayFolder="" count="0" memberValueDatatype="130" unbalanced="0"/>
    <cacheHierarchy uniqueName="[corretor_dimension  2].[cor_nome]" caption="cor_nome" attribute="1" defaultMemberUniqueName="[corretor_dimension  2].[cor_nome].[All]" allUniqueName="[corretor_dimension  2].[cor_nome].[All]" dimensionUniqueName="[corretor_dimension  2]" displayFolder="" count="0" memberValueDatatype="130" unbalanced="0"/>
    <cacheHierarchy uniqueName="[corretor_dimension  2].[cor_sobrenome]" caption="cor_sobrenome" attribute="1" defaultMemberUniqueName="[corretor_dimension  2].[cor_sobrenome].[All]" allUniqueName="[corretor_dimension  2].[cor_sobrenome].[All]" dimensionUniqueName="[corretor_dimension  2]" displayFolder="" count="0" memberValueDatatype="130" unbalanced="0"/>
    <cacheHierarchy uniqueName="[corretor_dimension  2].[cor_dt_inicio]" caption="cor_dt_inicio" attribute="1" time="1" defaultMemberUniqueName="[corretor_dimension  2].[cor_dt_inicio].[All]" allUniqueName="[corretor_dimension  2].[cor_dt_inicio].[All]" dimensionUniqueName="[corretor_dimension  2]" displayFolder="" count="0" memberValueDatatype="7" unbalanced="0"/>
    <cacheHierarchy uniqueName="[corretor_dimension  2].[cor_dt_fim]" caption="cor_dt_fim" attribute="1" defaultMemberUniqueName="[corretor_dimension  2].[cor_dt_fim].[All]" allUniqueName="[corretor_dimension  2].[cor_dt_fim].[All]" dimensionUniqueName="[corretor_dimension  2]" displayFolder="" count="0" memberValueDatatype="130" unbalanced="0"/>
    <cacheHierarchy uniqueName="[corretor_dimension  2].[cor_is_atual]" caption="cor_is_atual" attribute="1" defaultMemberUniqueName="[corretor_dimension  2].[cor_is_atual].[All]" allUniqueName="[corretor_dimension  2].[cor_is_atual].[All]" dimensionUniqueName="[corretor_dimension  2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0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0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2" memberValueDatatype="130" unbalanced="0">
      <fieldsUsage count="2">
        <fieldUsage x="-1"/>
        <fieldUsage x="0"/>
      </fieldsUsage>
    </cacheHierarchy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5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5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5" unbalanced="0"/>
    <cacheHierarchy uniqueName="[trans_venda_fact].[tv_valor_cliente]" caption="tv_valor_cliente" attribute="1" defaultMemberUniqueName="[trans_venda_fact].[tv_valor_cliente].[All]" allUniqueName="[trans_venda_fact].[tv_valor_cliente].[All]" dimensionUniqueName="[trans_venda_fact]" displayFolder="" count="0" memberValueDatatype="5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5" unbalanced="0"/>
    <cacheHierarchy uniqueName="[trans_venda_fact].[tv_comissao_cliente]" caption="tv_comissao_cliente" attribute="1" defaultMemberUniqueName="[trans_venda_fact].[tv_comissao_cliente].[All]" allUniqueName="[trans_venda_fact].[tv_comissao_cliente].[All]" dimensionUniqueName="[trans_venda_fact]" displayFolder="" count="0" memberValueDatatype="5" unbalanced="0"/>
    <cacheHierarchy uniqueName="[trans_venda_fact].[tv_tipo_cliente]" caption="tv_tipo_cliente" attribute="1" defaultMemberUniqueName="[trans_venda_fact].[tv_tipo_cliente].[All]" allUniqueName="[trans_venda_fact].[tv_tipo_cliente].[All]" dimensionUniqueName="[trans_venda_fact]" displayFolder="" count="0" memberValueDatatype="130" unbalanced="0"/>
    <cacheHierarchy uniqueName="[trans_venda_fact].[tv_total_compradores]" caption="tv_total_compradores" attribute="1" defaultMemberUniqueName="[trans_venda_fact].[tv_total_compradores].[All]" allUniqueName="[trans_venda_fact].[tv_total_compradores].[All]" dimensionUniqueName="[trans_venda_fact]" displayFolder="" count="0" memberValueDatatype="20" unbalanced="0"/>
    <cacheHierarchy uniqueName="[trans_venda_fact].[tv_total_vendedores]" caption="tv_total_vendedores" attribute="1" defaultMemberUniqueName="[trans_venda_fact].[tv_total_vendedores].[All]" allUniqueName="[trans_venda_fact].[tv_total_vendedores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2" memberValueDatatype="20" unbalanced="0">
      <fieldsUsage count="2">
        <fieldUsage x="-1"/>
        <fieldUsage x="1"/>
      </fieldsUsage>
    </cacheHierarchy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cl_sk]" caption="cl_sk" attribute="1" defaultMemberUniqueName="[trans_venda_fact].[cl_sk].[All]" allUniqueName="[trans_venda_fact].[cl_sk].[All]" dimensionUniqueName="[trans_venda_fact]" displayFolder="" count="0" memberValueDatatype="20" unbalanced="0"/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data_dimension]" caption="__XL_Count data_dimension" measure="1" displayFolder="" measureGroup="data_dimension" count="0" hidden="1"/>
    <cacheHierarchy uniqueName="[Measures].[__XL_Count corretor_dimension  2]" caption="__XL_Count corretor_dimension  2" measure="1" displayFolder="" measureGroup="corretor_dimension  2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cliente_dimension]" caption="__XL_Count cliente_dimension" measure="1" displayFolder="" measureGroup="cliente_dimension" count="0" hidden="1"/>
    <cacheHierarchy uniqueName="[Measures].[__XL_Count trans_venda_fact]" caption="__XL_Count trans_venda_fact" measure="1" displayFolder="" measureGroup="trans_venda_fact" count="0" hidden="1"/>
    <cacheHierarchy uniqueName="[Measures].[__No measures defined]" caption="__No measures defined" measure="1" displayFolder="" count="0" hidden="1"/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v_valor]" caption="Soma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e tv_id]" caption="Contagem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tv_tipo_cliente]" caption="Contagem de tv_tipo_cliente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7">
    <dimension name="cliente_dimension" uniqueName="[cliente_dimension]" caption="cliente_dimension"/>
    <dimension name="corretor_dimension  2" uniqueName="[corretor_dimension  2]" caption="corretor_dimension  2"/>
    <dimension name="data_dimension" uniqueName="[data_dimension]" caption="data_dimension"/>
    <dimension name="imovel_dimension" uniqueName="[imovel_dimension]" caption="imovel_dimension"/>
    <dimension measure="1" name="Measures" uniqueName="[Measures]" caption="Measures"/>
    <dimension name="receita_agregada_fact" uniqueName="[receita_agregada_fact]" caption="receita_agregada_fact"/>
    <dimension name="trans_venda_fact" uniqueName="[trans_venda_fact]" caption="trans_venda_fact"/>
  </dimensions>
  <measureGroups count="6">
    <measureGroup name="cliente_dimension" caption="cliente_dimension"/>
    <measureGroup name="corretor_dimension  2" caption="corretor_dimension  2"/>
    <measureGroup name="data_dimension" caption="data_dimension"/>
    <measureGroup name="imovel_dimension" caption="imovel_dimension"/>
    <measureGroup name="receita_agregada_fact" caption="receita_agregada_fact"/>
    <measureGroup name="trans_venda_fact" caption="trans_venda_fact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5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pivotCacheId="106416485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80.933036226852" backgroundQuery="1" createdVersion="8" refreshedVersion="8" minRefreshableVersion="3" recordCount="0" supportSubquery="1" supportAdvancedDrill="1" xr:uid="{10F37AF5-EE04-4188-8FA3-A695B6CF8474}">
  <cacheSource type="external" connectionId="13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Measures].[Contagem de tv_id]" caption="Contagem de tv_id" numFmtId="0" hierarchy="62" level="32767"/>
    <cacheField name="[data_dimension].[dt_dia_mes].[dt_dia_mes]" caption="dt_dia_mes" numFmtId="0" hierarchy="18" level="1">
      <sharedItems containsSemiMixedTypes="0" containsString="0" containsNumber="1" containsInteger="1" minValue="1" maxValue="25" count="6">
        <n v="1"/>
        <n v="5"/>
        <n v="10"/>
        <n v="15"/>
        <n v="20"/>
        <n v="25"/>
      </sharedItems>
      <extLst>
        <ext xmlns:x15="http://schemas.microsoft.com/office/spreadsheetml/2010/11/main" uri="{4F2E5C28-24EA-4eb8-9CBF-B6C8F9C3D259}">
          <x15:cachedUniqueNames>
            <x15:cachedUniqueName index="0" name="[data_dimension].[dt_dia_mes].&amp;[1]"/>
            <x15:cachedUniqueName index="1" name="[data_dimension].[dt_dia_mes].&amp;[5]"/>
            <x15:cachedUniqueName index="2" name="[data_dimension].[dt_dia_mes].&amp;[10]"/>
            <x15:cachedUniqueName index="3" name="[data_dimension].[dt_dia_mes].&amp;[15]"/>
            <x15:cachedUniqueName index="4" name="[data_dimension].[dt_dia_mes].&amp;[20]"/>
            <x15:cachedUniqueName index="5" name="[data_dimension].[dt_dia_mes].&amp;[25]"/>
          </x15:cachedUniqueNames>
        </ext>
      </extLst>
    </cacheField>
    <cacheField name="[data_dimension].[dt_data_completa (Mês)].[dt_data_completa (Mês)]" caption="dt_data_completa (Mês)" numFmtId="0" hierarchy="22" level="1">
      <sharedItems count="5">
        <s v="Mar"/>
        <s v="Apr"/>
        <s v="May"/>
        <s v="Jun"/>
        <s v="Jul"/>
      </sharedItems>
    </cacheField>
    <cacheField name="[trans_venda_fact].[cor_sk].[cor_sk]" caption="cor_sk" numFmtId="0" hierarchy="47" level="1">
      <sharedItems containsSemiMixedTypes="0" containsNonDate="0" containsString="0"/>
    </cacheField>
  </cacheFields>
  <cacheHierarchies count="67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rretor_dimension  2].[cor_sk]" caption="cor_sk" attribute="1" defaultMemberUniqueName="[corretor_dimension  2].[cor_sk].[All]" allUniqueName="[corretor_dimension  2].[cor_sk].[All]" dimensionUniqueName="[corretor_dimension  2]" displayFolder="" count="0" memberValueDatatype="20" unbalanced="0"/>
    <cacheHierarchy uniqueName="[corretor_dimension  2].[cor_cpf]" caption="cor_cpf" attribute="1" defaultMemberUniqueName="[corretor_dimension  2].[cor_cpf].[All]" allUniqueName="[corretor_dimension  2].[cor_cpf].[All]" dimensionUniqueName="[corretor_dimension  2]" displayFolder="" count="0" memberValueDatatype="20" unbalanced="0"/>
    <cacheHierarchy uniqueName="[corretor_dimension  2].[cor_registro]" caption="cor_registro" attribute="1" defaultMemberUniqueName="[corretor_dimension  2].[cor_registro].[All]" allUniqueName="[corretor_dimension  2].[cor_registro].[All]" dimensionUniqueName="[corretor_dimension  2]" displayFolder="" count="0" memberValueDatatype="130" unbalanced="0"/>
    <cacheHierarchy uniqueName="[corretor_dimension  2].[cor_nome]" caption="cor_nome" attribute="1" defaultMemberUniqueName="[corretor_dimension  2].[cor_nome].[All]" allUniqueName="[corretor_dimension  2].[cor_nome].[All]" dimensionUniqueName="[corretor_dimension  2]" displayFolder="" count="0" memberValueDatatype="130" unbalanced="0"/>
    <cacheHierarchy uniqueName="[corretor_dimension  2].[cor_sobrenome]" caption="cor_sobrenome" attribute="1" defaultMemberUniqueName="[corretor_dimension  2].[cor_sobrenome].[All]" allUniqueName="[corretor_dimension  2].[cor_sobrenome].[All]" dimensionUniqueName="[corretor_dimension  2]" displayFolder="" count="0" memberValueDatatype="130" unbalanced="0"/>
    <cacheHierarchy uniqueName="[corretor_dimension  2].[cor_dt_inicio]" caption="cor_dt_inicio" attribute="1" time="1" defaultMemberUniqueName="[corretor_dimension  2].[cor_dt_inicio].[All]" allUniqueName="[corretor_dimension  2].[cor_dt_inicio].[All]" dimensionUniqueName="[corretor_dimension  2]" displayFolder="" count="0" memberValueDatatype="7" unbalanced="0"/>
    <cacheHierarchy uniqueName="[corretor_dimension  2].[cor_dt_fim]" caption="cor_dt_fim" attribute="1" defaultMemberUniqueName="[corretor_dimension  2].[cor_dt_fim].[All]" allUniqueName="[corretor_dimension  2].[cor_dt_fim].[All]" dimensionUniqueName="[corretor_dimension  2]" displayFolder="" count="0" memberValueDatatype="130" unbalanced="0"/>
    <cacheHierarchy uniqueName="[corretor_dimension  2].[cor_is_atual]" caption="cor_is_atual" attribute="1" defaultMemberUniqueName="[corretor_dimension  2].[cor_is_atual].[All]" allUniqueName="[corretor_dimension  2].[cor_is_atual].[All]" dimensionUniqueName="[corretor_dimension  2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0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2" memberValueDatatype="20" unbalanced="0">
      <fieldsUsage count="2">
        <fieldUsage x="-1"/>
        <fieldUsage x="1"/>
      </fieldsUsage>
    </cacheHierarchy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2" memberValueDatatype="130" unbalanced="0">
      <fieldsUsage count="2">
        <fieldUsage x="-1"/>
        <fieldUsage x="2"/>
      </fieldsUsage>
    </cacheHierarchy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5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5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5" unbalanced="0"/>
    <cacheHierarchy uniqueName="[trans_venda_fact].[tv_valor_cliente]" caption="tv_valor_cliente" attribute="1" defaultMemberUniqueName="[trans_venda_fact].[tv_valor_cliente].[All]" allUniqueName="[trans_venda_fact].[tv_valor_cliente].[All]" dimensionUniqueName="[trans_venda_fact]" displayFolder="" count="0" memberValueDatatype="5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5" unbalanced="0"/>
    <cacheHierarchy uniqueName="[trans_venda_fact].[tv_comissao_cliente]" caption="tv_comissao_cliente" attribute="1" defaultMemberUniqueName="[trans_venda_fact].[tv_comissao_cliente].[All]" allUniqueName="[trans_venda_fact].[tv_comissao_cliente].[All]" dimensionUniqueName="[trans_venda_fact]" displayFolder="" count="0" memberValueDatatype="5" unbalanced="0"/>
    <cacheHierarchy uniqueName="[trans_venda_fact].[tv_tipo_cliente]" caption="tv_tipo_cliente" attribute="1" defaultMemberUniqueName="[trans_venda_fact].[tv_tipo_cliente].[All]" allUniqueName="[trans_venda_fact].[tv_tipo_cliente].[All]" dimensionUniqueName="[trans_venda_fact]" displayFolder="" count="0" memberValueDatatype="130" unbalanced="0"/>
    <cacheHierarchy uniqueName="[trans_venda_fact].[tv_total_compradores]" caption="tv_total_compradores" attribute="1" defaultMemberUniqueName="[trans_venda_fact].[tv_total_compradores].[All]" allUniqueName="[trans_venda_fact].[tv_total_compradores].[All]" dimensionUniqueName="[trans_venda_fact]" displayFolder="" count="0" memberValueDatatype="20" unbalanced="0"/>
    <cacheHierarchy uniqueName="[trans_venda_fact].[tv_total_vendedores]" caption="tv_total_vendedores" attribute="1" defaultMemberUniqueName="[trans_venda_fact].[tv_total_vendedores].[All]" allUniqueName="[trans_venda_fact].[tv_total_vendedores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2" memberValueDatatype="20" unbalanced="0">
      <fieldsUsage count="2">
        <fieldUsage x="-1"/>
        <fieldUsage x="3"/>
      </fieldsUsage>
    </cacheHierarchy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cl_sk]" caption="cl_sk" attribute="1" defaultMemberUniqueName="[trans_venda_fact].[cl_sk].[All]" allUniqueName="[trans_venda_fact].[cl_sk].[All]" dimensionUniqueName="[trans_venda_fact]" displayFolder="" count="0" memberValueDatatype="20" unbalanced="0"/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data_dimension]" caption="__XL_Count data_dimension" measure="1" displayFolder="" measureGroup="data_dimension" count="0" hidden="1"/>
    <cacheHierarchy uniqueName="[Measures].[__XL_Count corretor_dimension  2]" caption="__XL_Count corretor_dimension  2" measure="1" displayFolder="" measureGroup="corretor_dimension  2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cliente_dimension]" caption="__XL_Count cliente_dimension" measure="1" displayFolder="" measureGroup="cliente_dimension" count="0" hidden="1"/>
    <cacheHierarchy uniqueName="[Measures].[__XL_Count trans_venda_fact]" caption="__XL_Count trans_venda_fact" measure="1" displayFolder="" measureGroup="trans_venda_fact" count="0" hidden="1"/>
    <cacheHierarchy uniqueName="[Measures].[__No measures defined]" caption="__No measures defined" measure="1" displayFolder="" count="0" hidden="1"/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v_valor]" caption="Soma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e tv_id]" caption="Contagem de tv_id" measure="1" displayFolder="" measureGroup="trans_venda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tv_tipo_cliente]" caption="Contagem de tv_tipo_cliente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7">
    <dimension name="cliente_dimension" uniqueName="[cliente_dimension]" caption="cliente_dimension"/>
    <dimension name="corretor_dimension  2" uniqueName="[corretor_dimension  2]" caption="corretor_dimension  2"/>
    <dimension name="data_dimension" uniqueName="[data_dimension]" caption="data_dimension"/>
    <dimension name="imovel_dimension" uniqueName="[imovel_dimension]" caption="imovel_dimension"/>
    <dimension measure="1" name="Measures" uniqueName="[Measures]" caption="Measures"/>
    <dimension name="receita_agregada_fact" uniqueName="[receita_agregada_fact]" caption="receita_agregada_fact"/>
    <dimension name="trans_venda_fact" uniqueName="[trans_venda_fact]" caption="trans_venda_fact"/>
  </dimensions>
  <measureGroups count="6">
    <measureGroup name="cliente_dimension" caption="cliente_dimension"/>
    <measureGroup name="corretor_dimension  2" caption="corretor_dimension  2"/>
    <measureGroup name="data_dimension" caption="data_dimension"/>
    <measureGroup name="imovel_dimension" caption="imovel_dimension"/>
    <measureGroup name="receita_agregada_fact" caption="receita_agregada_fact"/>
    <measureGroup name="trans_venda_fact" caption="trans_venda_fact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5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pivotCacheId="127828827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80.933036805553" backgroundQuery="1" createdVersion="8" refreshedVersion="8" minRefreshableVersion="3" recordCount="0" supportSubquery="1" supportAdvancedDrill="1" xr:uid="{DA5A887F-5889-42D6-8A67-0663688B4A5E}">
  <cacheSource type="external" connectionId="13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ata_dimension].[dt_data_completa (Mês)].[dt_data_completa (Mês)]" caption="dt_data_completa (Mês)" numFmtId="0" hierarchy="22" level="1">
      <sharedItems count="5">
        <s v="Mar"/>
        <s v="Apr"/>
        <s v="May"/>
        <s v="Jun"/>
        <s v="Jul"/>
      </sharedItems>
    </cacheField>
    <cacheField name="[data_dimension].[dt_dia_mes].[dt_dia_mes]" caption="dt_dia_mes" numFmtId="0" hierarchy="18" level="1">
      <sharedItems containsSemiMixedTypes="0" containsString="0" containsNumber="1" containsInteger="1" minValue="1" maxValue="25" count="6">
        <n v="1"/>
        <n v="5"/>
        <n v="10"/>
        <n v="15"/>
        <n v="20"/>
        <n v="25"/>
      </sharedItems>
      <extLst>
        <ext xmlns:x15="http://schemas.microsoft.com/office/spreadsheetml/2010/11/main" uri="{4F2E5C28-24EA-4eb8-9CBF-B6C8F9C3D259}">
          <x15:cachedUniqueNames>
            <x15:cachedUniqueName index="0" name="[data_dimension].[dt_dia_mes].&amp;[1]"/>
            <x15:cachedUniqueName index="1" name="[data_dimension].[dt_dia_mes].&amp;[5]"/>
            <x15:cachedUniqueName index="2" name="[data_dimension].[dt_dia_mes].&amp;[10]"/>
            <x15:cachedUniqueName index="3" name="[data_dimension].[dt_dia_mes].&amp;[15]"/>
            <x15:cachedUniqueName index="4" name="[data_dimension].[dt_dia_mes].&amp;[20]"/>
            <x15:cachedUniqueName index="5" name="[data_dimension].[dt_dia_mes].&amp;[25]"/>
          </x15:cachedUniqueNames>
        </ext>
      </extLst>
    </cacheField>
    <cacheField name="[Measures].[Soma de tv_comissao]" caption="Soma de tv_comissao" numFmtId="0" hierarchy="65" level="32767"/>
  </cacheFields>
  <cacheHierarchies count="67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rretor_dimension  2].[cor_sk]" caption="cor_sk" attribute="1" defaultMemberUniqueName="[corretor_dimension  2].[cor_sk].[All]" allUniqueName="[corretor_dimension  2].[cor_sk].[All]" dimensionUniqueName="[corretor_dimension  2]" displayFolder="" count="0" memberValueDatatype="20" unbalanced="0"/>
    <cacheHierarchy uniqueName="[corretor_dimension  2].[cor_cpf]" caption="cor_cpf" attribute="1" defaultMemberUniqueName="[corretor_dimension  2].[cor_cpf].[All]" allUniqueName="[corretor_dimension  2].[cor_cpf].[All]" dimensionUniqueName="[corretor_dimension  2]" displayFolder="" count="0" memberValueDatatype="20" unbalanced="0"/>
    <cacheHierarchy uniqueName="[corretor_dimension  2].[cor_registro]" caption="cor_registro" attribute="1" defaultMemberUniqueName="[corretor_dimension  2].[cor_registro].[All]" allUniqueName="[corretor_dimension  2].[cor_registro].[All]" dimensionUniqueName="[corretor_dimension  2]" displayFolder="" count="0" memberValueDatatype="130" unbalanced="0"/>
    <cacheHierarchy uniqueName="[corretor_dimension  2].[cor_nome]" caption="cor_nome" attribute="1" defaultMemberUniqueName="[corretor_dimension  2].[cor_nome].[All]" allUniqueName="[corretor_dimension  2].[cor_nome].[All]" dimensionUniqueName="[corretor_dimension  2]" displayFolder="" count="0" memberValueDatatype="130" unbalanced="0"/>
    <cacheHierarchy uniqueName="[corretor_dimension  2].[cor_sobrenome]" caption="cor_sobrenome" attribute="1" defaultMemberUniqueName="[corretor_dimension  2].[cor_sobrenome].[All]" allUniqueName="[corretor_dimension  2].[cor_sobrenome].[All]" dimensionUniqueName="[corretor_dimension  2]" displayFolder="" count="0" memberValueDatatype="130" unbalanced="0"/>
    <cacheHierarchy uniqueName="[corretor_dimension  2].[cor_dt_inicio]" caption="cor_dt_inicio" attribute="1" time="1" defaultMemberUniqueName="[corretor_dimension  2].[cor_dt_inicio].[All]" allUniqueName="[corretor_dimension  2].[cor_dt_inicio].[All]" dimensionUniqueName="[corretor_dimension  2]" displayFolder="" count="0" memberValueDatatype="7" unbalanced="0"/>
    <cacheHierarchy uniqueName="[corretor_dimension  2].[cor_dt_fim]" caption="cor_dt_fim" attribute="1" defaultMemberUniqueName="[corretor_dimension  2].[cor_dt_fim].[All]" allUniqueName="[corretor_dimension  2].[cor_dt_fim].[All]" dimensionUniqueName="[corretor_dimension  2]" displayFolder="" count="0" memberValueDatatype="130" unbalanced="0"/>
    <cacheHierarchy uniqueName="[corretor_dimension  2].[cor_is_atual]" caption="cor_is_atual" attribute="1" defaultMemberUniqueName="[corretor_dimension  2].[cor_is_atual].[All]" allUniqueName="[corretor_dimension  2].[cor_is_atual].[All]" dimensionUniqueName="[corretor_dimension  2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0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2" memberValueDatatype="20" unbalanced="0">
      <fieldsUsage count="2">
        <fieldUsage x="-1"/>
        <fieldUsage x="1"/>
      </fieldsUsage>
    </cacheHierarchy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2" memberValueDatatype="130" unbalanced="0">
      <fieldsUsage count="2">
        <fieldUsage x="-1"/>
        <fieldUsage x="0"/>
      </fieldsUsage>
    </cacheHierarchy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5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5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5" unbalanced="0"/>
    <cacheHierarchy uniqueName="[trans_venda_fact].[tv_valor_cliente]" caption="tv_valor_cliente" attribute="1" defaultMemberUniqueName="[trans_venda_fact].[tv_valor_cliente].[All]" allUniqueName="[trans_venda_fact].[tv_valor_cliente].[All]" dimensionUniqueName="[trans_venda_fact]" displayFolder="" count="0" memberValueDatatype="5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5" unbalanced="0"/>
    <cacheHierarchy uniqueName="[trans_venda_fact].[tv_comissao_cliente]" caption="tv_comissao_cliente" attribute="1" defaultMemberUniqueName="[trans_venda_fact].[tv_comissao_cliente].[All]" allUniqueName="[trans_venda_fact].[tv_comissao_cliente].[All]" dimensionUniqueName="[trans_venda_fact]" displayFolder="" count="0" memberValueDatatype="5" unbalanced="0"/>
    <cacheHierarchy uniqueName="[trans_venda_fact].[tv_tipo_cliente]" caption="tv_tipo_cliente" attribute="1" defaultMemberUniqueName="[trans_venda_fact].[tv_tipo_cliente].[All]" allUniqueName="[trans_venda_fact].[tv_tipo_cliente].[All]" dimensionUniqueName="[trans_venda_fact]" displayFolder="" count="0" memberValueDatatype="130" unbalanced="0"/>
    <cacheHierarchy uniqueName="[trans_venda_fact].[tv_total_compradores]" caption="tv_total_compradores" attribute="1" defaultMemberUniqueName="[trans_venda_fact].[tv_total_compradores].[All]" allUniqueName="[trans_venda_fact].[tv_total_compradores].[All]" dimensionUniqueName="[trans_venda_fact]" displayFolder="" count="0" memberValueDatatype="20" unbalanced="0"/>
    <cacheHierarchy uniqueName="[trans_venda_fact].[tv_total_vendedores]" caption="tv_total_vendedores" attribute="1" defaultMemberUniqueName="[trans_venda_fact].[tv_total_vendedores].[All]" allUniqueName="[trans_venda_fact].[tv_total_vendedores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2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cl_sk]" caption="cl_sk" attribute="1" defaultMemberUniqueName="[trans_venda_fact].[cl_sk].[All]" allUniqueName="[trans_venda_fact].[cl_sk].[All]" dimensionUniqueName="[trans_venda_fact]" displayFolder="" count="0" memberValueDatatype="20" unbalanced="0"/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data_dimension]" caption="__XL_Count data_dimension" measure="1" displayFolder="" measureGroup="data_dimension" count="0" hidden="1"/>
    <cacheHierarchy uniqueName="[Measures].[__XL_Count corretor_dimension  2]" caption="__XL_Count corretor_dimension  2" measure="1" displayFolder="" measureGroup="corretor_dimension  2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cliente_dimension]" caption="__XL_Count cliente_dimension" measure="1" displayFolder="" measureGroup="cliente_dimension" count="0" hidden="1"/>
    <cacheHierarchy uniqueName="[Measures].[__XL_Count trans_venda_fact]" caption="__XL_Count trans_venda_fact" measure="1" displayFolder="" measureGroup="trans_venda_fact" count="0" hidden="1"/>
    <cacheHierarchy uniqueName="[Measures].[__No measures defined]" caption="__No measures defined" measure="1" displayFolder="" count="0" hidden="1"/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v_valor]" caption="Soma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e tv_id]" caption="Contagem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tv_comissao]" caption="Soma de tv_comissao" measure="1" displayFolder="" measureGroup="trans_venda_fac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tv_tipo_cliente]" caption="Contagem de tv_tipo_cliente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7">
    <dimension name="cliente_dimension" uniqueName="[cliente_dimension]" caption="cliente_dimension"/>
    <dimension name="corretor_dimension  2" uniqueName="[corretor_dimension  2]" caption="corretor_dimension  2"/>
    <dimension name="data_dimension" uniqueName="[data_dimension]" caption="data_dimension"/>
    <dimension name="imovel_dimension" uniqueName="[imovel_dimension]" caption="imovel_dimension"/>
    <dimension measure="1" name="Measures" uniqueName="[Measures]" caption="Measures"/>
    <dimension name="receita_agregada_fact" uniqueName="[receita_agregada_fact]" caption="receita_agregada_fact"/>
    <dimension name="trans_venda_fact" uniqueName="[trans_venda_fact]" caption="trans_venda_fact"/>
  </dimensions>
  <measureGroups count="6">
    <measureGroup name="cliente_dimension" caption="cliente_dimension"/>
    <measureGroup name="corretor_dimension  2" caption="corretor_dimension  2"/>
    <measureGroup name="data_dimension" caption="data_dimension"/>
    <measureGroup name="imovel_dimension" caption="imovel_dimension"/>
    <measureGroup name="receita_agregada_fact" caption="receita_agregada_fact"/>
    <measureGroup name="trans_venda_fact" caption="trans_venda_fact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5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pivotCacheId="158067096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80.933037268522" backgroundQuery="1" createdVersion="8" refreshedVersion="8" minRefreshableVersion="3" recordCount="0" supportSubquery="1" supportAdvancedDrill="1" xr:uid="{79325F34-B007-4B7A-8A6D-0C3B0C93B7B7}">
  <cacheSource type="external" connectionId="13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Soma de ra_comissao_total]" caption="Soma de ra_comissao_total" numFmtId="0" hierarchy="64" level="32767"/>
    <cacheField name="[data_dimension].[dt_data_completa (Mês)].[dt_data_completa (Mês)]" caption="dt_data_completa (Mês)" numFmtId="0" hierarchy="22" level="1">
      <sharedItems count="5">
        <s v="Mar"/>
        <s v="Apr"/>
        <s v="May"/>
        <s v="Jun"/>
        <s v="Jul"/>
      </sharedItems>
    </cacheField>
    <cacheField name="[data_dimension].[dt_dia_mes].[dt_dia_mes]" caption="dt_dia_mes" numFmtId="0" hierarchy="18" level="1">
      <sharedItems containsSemiMixedTypes="0" containsString="0" containsNumber="1" containsInteger="1" minValue="1" maxValue="25" count="6">
        <n v="1"/>
        <n v="5"/>
        <n v="10"/>
        <n v="15"/>
        <n v="20"/>
        <n v="25"/>
      </sharedItems>
      <extLst>
        <ext xmlns:x15="http://schemas.microsoft.com/office/spreadsheetml/2010/11/main" uri="{4F2E5C28-24EA-4eb8-9CBF-B6C8F9C3D259}">
          <x15:cachedUniqueNames>
            <x15:cachedUniqueName index="0" name="[data_dimension].[dt_dia_mes].&amp;[1]"/>
            <x15:cachedUniqueName index="1" name="[data_dimension].[dt_dia_mes].&amp;[5]"/>
            <x15:cachedUniqueName index="2" name="[data_dimension].[dt_dia_mes].&amp;[10]"/>
            <x15:cachedUniqueName index="3" name="[data_dimension].[dt_dia_mes].&amp;[15]"/>
            <x15:cachedUniqueName index="4" name="[data_dimension].[dt_dia_mes].&amp;[20]"/>
            <x15:cachedUniqueName index="5" name="[data_dimension].[dt_dia_mes].&amp;[25]"/>
          </x15:cachedUniqueNames>
        </ext>
      </extLst>
    </cacheField>
  </cacheFields>
  <cacheHierarchies count="67">
    <cacheHierarchy uniqueName="[cliente_dimension].[cl_sk]" caption="cl_sk" attribute="1" defaultMemberUniqueName="[cliente_dimension].[cl_sk].[All]" allUniqueName="[cliente_dimension].[cl_sk].[All]" dimensionUniqueName="[cliente_dimension]" displayFolder="" count="0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0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0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0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0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0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0" memberValueDatatype="130" unbalanced="0"/>
    <cacheHierarchy uniqueName="[corretor_dimension  2].[cor_sk]" caption="cor_sk" attribute="1" defaultMemberUniqueName="[corretor_dimension  2].[cor_sk].[All]" allUniqueName="[corretor_dimension  2].[cor_sk].[All]" dimensionUniqueName="[corretor_dimension  2]" displayFolder="" count="0" memberValueDatatype="20" unbalanced="0"/>
    <cacheHierarchy uniqueName="[corretor_dimension  2].[cor_cpf]" caption="cor_cpf" attribute="1" defaultMemberUniqueName="[corretor_dimension  2].[cor_cpf].[All]" allUniqueName="[corretor_dimension  2].[cor_cpf].[All]" dimensionUniqueName="[corretor_dimension  2]" displayFolder="" count="0" memberValueDatatype="20" unbalanced="0"/>
    <cacheHierarchy uniqueName="[corretor_dimension  2].[cor_registro]" caption="cor_registro" attribute="1" defaultMemberUniqueName="[corretor_dimension  2].[cor_registro].[All]" allUniqueName="[corretor_dimension  2].[cor_registro].[All]" dimensionUniqueName="[corretor_dimension  2]" displayFolder="" count="0" memberValueDatatype="130" unbalanced="0"/>
    <cacheHierarchy uniqueName="[corretor_dimension  2].[cor_nome]" caption="cor_nome" attribute="1" defaultMemberUniqueName="[corretor_dimension  2].[cor_nome].[All]" allUniqueName="[corretor_dimension  2].[cor_nome].[All]" dimensionUniqueName="[corretor_dimension  2]" displayFolder="" count="0" memberValueDatatype="130" unbalanced="0"/>
    <cacheHierarchy uniqueName="[corretor_dimension  2].[cor_sobrenome]" caption="cor_sobrenome" attribute="1" defaultMemberUniqueName="[corretor_dimension  2].[cor_sobrenome].[All]" allUniqueName="[corretor_dimension  2].[cor_sobrenome].[All]" dimensionUniqueName="[corretor_dimension  2]" displayFolder="" count="0" memberValueDatatype="130" unbalanced="0"/>
    <cacheHierarchy uniqueName="[corretor_dimension  2].[cor_dt_inicio]" caption="cor_dt_inicio" attribute="1" time="1" defaultMemberUniqueName="[corretor_dimension  2].[cor_dt_inicio].[All]" allUniqueName="[corretor_dimension  2].[cor_dt_inicio].[All]" dimensionUniqueName="[corretor_dimension  2]" displayFolder="" count="0" memberValueDatatype="7" unbalanced="0"/>
    <cacheHierarchy uniqueName="[corretor_dimension  2].[cor_dt_fim]" caption="cor_dt_fim" attribute="1" defaultMemberUniqueName="[corretor_dimension  2].[cor_dt_fim].[All]" allUniqueName="[corretor_dimension  2].[cor_dt_fim].[All]" dimensionUniqueName="[corretor_dimension  2]" displayFolder="" count="0" memberValueDatatype="130" unbalanced="0"/>
    <cacheHierarchy uniqueName="[corretor_dimension  2].[cor_is_atual]" caption="cor_is_atual" attribute="1" defaultMemberUniqueName="[corretor_dimension  2].[cor_is_atual].[All]" allUniqueName="[corretor_dimension  2].[cor_is_atual].[All]" dimensionUniqueName="[corretor_dimension  2]" displayFolder="" count="0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0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0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0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2" memberValueDatatype="20" unbalanced="0">
      <fieldsUsage count="2">
        <fieldUsage x="-1"/>
        <fieldUsage x="2"/>
      </fieldsUsage>
    </cacheHierarchy>
    <cacheHierarchy uniqueName="[data_dimension].[dt_mes]" caption="dt_mes" attribute="1" defaultMemberUniqueName="[data_dimension].[dt_mes].[All]" allUniqueName="[data_dimension].[dt_mes].[All]" dimensionUniqueName="[data_dimension]" displayFolder="" count="0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0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0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2" memberValueDatatype="130" unbalanced="0">
      <fieldsUsage count="2">
        <fieldUsage x="-1"/>
        <fieldUsage x="1"/>
      </fieldsUsage>
    </cacheHierarchy>
    <cacheHierarchy uniqueName="[imovel_dimension].[im_sk]" caption="im_sk" attribute="1" defaultMemberUniqueName="[imovel_dimension].[im_sk].[All]" allUniqueName="[imovel_dimension].[im_sk].[All]" dimensionUniqueName="[imovel_dimension]" displayFolder="" count="0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0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0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0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0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0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0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0" memberValueDatatype="5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0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0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0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0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0" memberValueDatatype="5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0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0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0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0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0" memberValueDatatype="5" unbalanced="0"/>
    <cacheHierarchy uniqueName="[trans_venda_fact].[tv_valor_cliente]" caption="tv_valor_cliente" attribute="1" defaultMemberUniqueName="[trans_venda_fact].[tv_valor_cliente].[All]" allUniqueName="[trans_venda_fact].[tv_valor_cliente].[All]" dimensionUniqueName="[trans_venda_fact]" displayFolder="" count="0" memberValueDatatype="5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0" memberValueDatatype="5" unbalanced="0"/>
    <cacheHierarchy uniqueName="[trans_venda_fact].[tv_comissao_cliente]" caption="tv_comissao_cliente" attribute="1" defaultMemberUniqueName="[trans_venda_fact].[tv_comissao_cliente].[All]" allUniqueName="[trans_venda_fact].[tv_comissao_cliente].[All]" dimensionUniqueName="[trans_venda_fact]" displayFolder="" count="0" memberValueDatatype="5" unbalanced="0"/>
    <cacheHierarchy uniqueName="[trans_venda_fact].[tv_tipo_cliente]" caption="tv_tipo_cliente" attribute="1" defaultMemberUniqueName="[trans_venda_fact].[tv_tipo_cliente].[All]" allUniqueName="[trans_venda_fact].[tv_tipo_cliente].[All]" dimensionUniqueName="[trans_venda_fact]" displayFolder="" count="0" memberValueDatatype="130" unbalanced="0"/>
    <cacheHierarchy uniqueName="[trans_venda_fact].[tv_total_compradores]" caption="tv_total_compradores" attribute="1" defaultMemberUniqueName="[trans_venda_fact].[tv_total_compradores].[All]" allUniqueName="[trans_venda_fact].[tv_total_compradores].[All]" dimensionUniqueName="[trans_venda_fact]" displayFolder="" count="0" memberValueDatatype="20" unbalanced="0"/>
    <cacheHierarchy uniqueName="[trans_venda_fact].[tv_total_vendedores]" caption="tv_total_vendedores" attribute="1" defaultMemberUniqueName="[trans_venda_fact].[tv_total_vendedores].[All]" allUniqueName="[trans_venda_fact].[tv_total_vendedores].[All]" dimensionUniqueName="[trans_venda_fact]" displayFolder="" count="0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0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0" memberValueDatatype="20" unbalanced="0"/>
    <cacheHierarchy uniqueName="[trans_venda_fact].[cl_sk]" caption="cl_sk" attribute="1" defaultMemberUniqueName="[trans_venda_fact].[cl_sk].[All]" allUniqueName="[trans_venda_fact].[cl_sk].[All]" dimensionUniqueName="[trans_venda_fact]" displayFolder="" count="0" memberValueDatatype="20" unbalanced="0"/>
    <cacheHierarchy uniqueName="[trans_venda_fact].[dt_sk]" caption="dt_sk" attribute="1" defaultMemberUniqueName="[trans_venda_fact].[dt_sk].[All]" allUniqueName="[trans_venda_fact].[dt_sk].[All]" dimensionUniqueName="[trans_venda_fact]" displayFolder="" count="0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0" memberValueDatatype="20" unbalanced="0" hidden="1"/>
    <cacheHierarchy uniqueName="[Measures].[__XL_Count data_dimension]" caption="__XL_Count data_dimension" measure="1" displayFolder="" measureGroup="data_dimension" count="0" hidden="1"/>
    <cacheHierarchy uniqueName="[Measures].[__XL_Count corretor_dimension  2]" caption="__XL_Count corretor_dimension  2" measure="1" displayFolder="" measureGroup="corretor_dimension  2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cliente_dimension]" caption="__XL_Count cliente_dimension" measure="1" displayFolder="" measureGroup="cliente_dimension" count="0" hidden="1"/>
    <cacheHierarchy uniqueName="[Measures].[__XL_Count trans_venda_fact]" caption="__XL_Count trans_venda_fact" measure="1" displayFolder="" measureGroup="trans_venda_fact" count="0" hidden="1"/>
    <cacheHierarchy uniqueName="[Measures].[__No measures defined]" caption="__No measures defined" measure="1" displayFolder="" count="0" hidden="1"/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v_valor]" caption="Soma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tv_id]" caption="Soma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e tv_id]" caption="Contagem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ra_comissao_total]" caption="Soma de ra_comissao_total" measure="1" displayFolder="" measureGroup="receita_agregada_fac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tv_tipo_cliente]" caption="Contagem de tv_tipo_cliente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7">
    <dimension name="cliente_dimension" uniqueName="[cliente_dimension]" caption="cliente_dimension"/>
    <dimension name="corretor_dimension  2" uniqueName="[corretor_dimension  2]" caption="corretor_dimension  2"/>
    <dimension name="data_dimension" uniqueName="[data_dimension]" caption="data_dimension"/>
    <dimension name="imovel_dimension" uniqueName="[imovel_dimension]" caption="imovel_dimension"/>
    <dimension measure="1" name="Measures" uniqueName="[Measures]" caption="Measures"/>
    <dimension name="receita_agregada_fact" uniqueName="[receita_agregada_fact]" caption="receita_agregada_fact"/>
    <dimension name="trans_venda_fact" uniqueName="[trans_venda_fact]" caption="trans_venda_fact"/>
  </dimensions>
  <measureGroups count="6">
    <measureGroup name="cliente_dimension" caption="cliente_dimension"/>
    <measureGroup name="corretor_dimension  2" caption="corretor_dimension  2"/>
    <measureGroup name="data_dimension" caption="data_dimension"/>
    <measureGroup name="imovel_dimension" caption="imovel_dimension"/>
    <measureGroup name="receita_agregada_fact" caption="receita_agregada_fact"/>
    <measureGroup name="trans_venda_fact" caption="trans_venda_fact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5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pivotCacheId="14879642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na fonseca" refreshedDate="46280.939370486114" backgroundQuery="1" createdVersion="8" refreshedVersion="8" minRefreshableVersion="3" recordCount="0" supportSubquery="1" supportAdvancedDrill="1" xr:uid="{58F615BB-AA10-41CB-BC9F-EE165327DA72}">
  <cacheSource type="external" connectionId="13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rans_venda_fact].[tv_tipo_cliente].[tv_tipo_cliente]" caption="tv_tipo_cliente" numFmtId="0" hierarchy="44" level="1">
      <sharedItems count="2">
        <s v="COMPRADOR"/>
        <s v="VENDEDOR"/>
      </sharedItems>
    </cacheField>
    <cacheField name="[Measures].[Soma de tv_id]" caption="Soma de tv_id" numFmtId="0" hierarchy="61" level="32767"/>
    <cacheField name="[trans_venda_fact].[cl_sk].[cl_sk]" caption="cl_sk" numFmtId="0" hierarchy="49" level="1">
      <sharedItems containsSemiMixedTypes="0" containsNonDate="0" containsString="0"/>
    </cacheField>
  </cacheFields>
  <cacheHierarchies count="67">
    <cacheHierarchy uniqueName="[cliente_dimension].[cl_sk]" caption="cl_sk" attribute="1" defaultMemberUniqueName="[cliente_dimension].[cl_sk].[All]" allUniqueName="[cliente_dimension].[cl_sk].[All]" dimensionUniqueName="[cliente_dimension]" displayFolder="" count="2" memberValueDatatype="20" unbalanced="0"/>
    <cacheHierarchy uniqueName="[cliente_dimension].[cl_cpf]" caption="cl_cpf" attribute="1" defaultMemberUniqueName="[cliente_dimension].[cl_cpf].[All]" allUniqueName="[cliente_dimension].[cl_cpf].[All]" dimensionUniqueName="[cliente_dimension]" displayFolder="" count="2" memberValueDatatype="20" unbalanced="0"/>
    <cacheHierarchy uniqueName="[cliente_dimension].[cl_nome]" caption="cl_nome" attribute="1" defaultMemberUniqueName="[cliente_dimension].[cl_nome].[All]" allUniqueName="[cliente_dimension].[cl_nome].[All]" dimensionUniqueName="[cliente_dimension]" displayFolder="" count="2" memberValueDatatype="130" unbalanced="0"/>
    <cacheHierarchy uniqueName="[cliente_dimension].[cl_sobrenome]" caption="cl_sobrenome" attribute="1" defaultMemberUniqueName="[cliente_dimension].[cl_sobrenome].[All]" allUniqueName="[cliente_dimension].[cl_sobrenome].[All]" dimensionUniqueName="[cliente_dimension]" displayFolder="" count="2" memberValueDatatype="130" unbalanced="0"/>
    <cacheHierarchy uniqueName="[cliente_dimension].[cl_dt_inicio]" caption="cl_dt_inicio" attribute="1" time="1" defaultMemberUniqueName="[cliente_dimension].[cl_dt_inicio].[All]" allUniqueName="[cliente_dimension].[cl_dt_inicio].[All]" dimensionUniqueName="[cliente_dimension]" displayFolder="" count="2" memberValueDatatype="7" unbalanced="0"/>
    <cacheHierarchy uniqueName="[cliente_dimension].[cl_dt_fim]" caption="cl_dt_fim" attribute="1" defaultMemberUniqueName="[cliente_dimension].[cl_dt_fim].[All]" allUniqueName="[cliente_dimension].[cl_dt_fim].[All]" dimensionUniqueName="[cliente_dimension]" displayFolder="" count="2" memberValueDatatype="130" unbalanced="0"/>
    <cacheHierarchy uniqueName="[cliente_dimension].[cl_is_atual]" caption="cl_is_atual" attribute="1" defaultMemberUniqueName="[cliente_dimension].[cl_is_atual].[All]" allUniqueName="[cliente_dimension].[cl_is_atual].[All]" dimensionUniqueName="[cliente_dimension]" displayFolder="" count="2" memberValueDatatype="130" unbalanced="0"/>
    <cacheHierarchy uniqueName="[corretor_dimension  2].[cor_sk]" caption="cor_sk" attribute="1" defaultMemberUniqueName="[corretor_dimension  2].[cor_sk].[All]" allUniqueName="[corretor_dimension  2].[cor_sk].[All]" dimensionUniqueName="[corretor_dimension  2]" displayFolder="" count="2" memberValueDatatype="20" unbalanced="0"/>
    <cacheHierarchy uniqueName="[corretor_dimension  2].[cor_cpf]" caption="cor_cpf" attribute="1" defaultMemberUniqueName="[corretor_dimension  2].[cor_cpf].[All]" allUniqueName="[corretor_dimension  2].[cor_cpf].[All]" dimensionUniqueName="[corretor_dimension  2]" displayFolder="" count="2" memberValueDatatype="20" unbalanced="0"/>
    <cacheHierarchy uniqueName="[corretor_dimension  2].[cor_registro]" caption="cor_registro" attribute="1" defaultMemberUniqueName="[corretor_dimension  2].[cor_registro].[All]" allUniqueName="[corretor_dimension  2].[cor_registro].[All]" dimensionUniqueName="[corretor_dimension  2]" displayFolder="" count="2" memberValueDatatype="130" unbalanced="0"/>
    <cacheHierarchy uniqueName="[corretor_dimension  2].[cor_nome]" caption="cor_nome" attribute="1" defaultMemberUniqueName="[corretor_dimension  2].[cor_nome].[All]" allUniqueName="[corretor_dimension  2].[cor_nome].[All]" dimensionUniqueName="[corretor_dimension  2]" displayFolder="" count="2" memberValueDatatype="130" unbalanced="0"/>
    <cacheHierarchy uniqueName="[corretor_dimension  2].[cor_sobrenome]" caption="cor_sobrenome" attribute="1" defaultMemberUniqueName="[corretor_dimension  2].[cor_sobrenome].[All]" allUniqueName="[corretor_dimension  2].[cor_sobrenome].[All]" dimensionUniqueName="[corretor_dimension  2]" displayFolder="" count="2" memberValueDatatype="130" unbalanced="0"/>
    <cacheHierarchy uniqueName="[corretor_dimension  2].[cor_dt_inicio]" caption="cor_dt_inicio" attribute="1" time="1" defaultMemberUniqueName="[corretor_dimension  2].[cor_dt_inicio].[All]" allUniqueName="[corretor_dimension  2].[cor_dt_inicio].[All]" dimensionUniqueName="[corretor_dimension  2]" displayFolder="" count="2" memberValueDatatype="7" unbalanced="0"/>
    <cacheHierarchy uniqueName="[corretor_dimension  2].[cor_dt_fim]" caption="cor_dt_fim" attribute="1" defaultMemberUniqueName="[corretor_dimension  2].[cor_dt_fim].[All]" allUniqueName="[corretor_dimension  2].[cor_dt_fim].[All]" dimensionUniqueName="[corretor_dimension  2]" displayFolder="" count="2" memberValueDatatype="130" unbalanced="0"/>
    <cacheHierarchy uniqueName="[corretor_dimension  2].[cor_is_atual]" caption="cor_is_atual" attribute="1" defaultMemberUniqueName="[corretor_dimension  2].[cor_is_atual].[All]" allUniqueName="[corretor_dimension  2].[cor_is_atual].[All]" dimensionUniqueName="[corretor_dimension  2]" displayFolder="" count="2" memberValueDatatype="130" unbalanced="0"/>
    <cacheHierarchy uniqueName="[data_dimension].[dt_sk]" caption="dt_sk" attribute="1" defaultMemberUniqueName="[data_dimension].[dt_sk].[All]" allUniqueName="[data_dimension].[dt_sk].[All]" dimensionUniqueName="[data_dimension]" displayFolder="" count="2" memberValueDatatype="20" unbalanced="0"/>
    <cacheHierarchy uniqueName="[data_dimension].[dt_data_completa]" caption="dt_data_completa" attribute="1" time="1" defaultMemberUniqueName="[data_dimension].[dt_data_completa].[All]" allUniqueName="[data_dimension].[dt_data_completa].[All]" dimensionUniqueName="[data_dimension]" displayFolder="" count="2" memberValueDatatype="7" unbalanced="0"/>
    <cacheHierarchy uniqueName="[data_dimension].[dt_dia_semana]" caption="dt_dia_semana" attribute="1" defaultMemberUniqueName="[data_dimension].[dt_dia_semana].[All]" allUniqueName="[data_dimension].[dt_dia_semana].[All]" dimensionUniqueName="[data_dimension]" displayFolder="" count="2" memberValueDatatype="20" unbalanced="0"/>
    <cacheHierarchy uniqueName="[data_dimension].[dt_dia_mes]" caption="dt_dia_mes" attribute="1" defaultMemberUniqueName="[data_dimension].[dt_dia_mes].[All]" allUniqueName="[data_dimension].[dt_dia_mes].[All]" dimensionUniqueName="[data_dimension]" displayFolder="" count="2" memberValueDatatype="20" unbalanced="0"/>
    <cacheHierarchy uniqueName="[data_dimension].[dt_mes]" caption="dt_mes" attribute="1" defaultMemberUniqueName="[data_dimension].[dt_mes].[All]" allUniqueName="[data_dimension].[dt_mes].[All]" dimensionUniqueName="[data_dimension]" displayFolder="" count="2" memberValueDatatype="20" unbalanced="0"/>
    <cacheHierarchy uniqueName="[data_dimension].[dt_ano]" caption="dt_ano" attribute="1" defaultMemberUniqueName="[data_dimension].[dt_ano].[All]" allUniqueName="[data_dimension].[dt_ano].[All]" dimensionUniqueName="[data_dimension]" displayFolder="" count="2" memberValueDatatype="20" unbalanced="0"/>
    <cacheHierarchy uniqueName="[data_dimension].[dt_trimestre]" caption="dt_trimestre" attribute="1" defaultMemberUniqueName="[data_dimension].[dt_trimestre].[All]" allUniqueName="[data_dimension].[dt_trimestre].[All]" dimensionUniqueName="[data_dimension]" displayFolder="" count="2" memberValueDatatype="20" unbalanced="0"/>
    <cacheHierarchy uniqueName="[data_dimension].[dt_data_completa (Mês)]" caption="dt_data_completa (Mês)" attribute="1" defaultMemberUniqueName="[data_dimension].[dt_data_completa (Mês)].[All]" allUniqueName="[data_dimension].[dt_data_completa (Mês)].[All]" dimensionUniqueName="[data_dimension]" displayFolder="" count="2" memberValueDatatype="130" unbalanced="0"/>
    <cacheHierarchy uniqueName="[imovel_dimension].[im_sk]" caption="im_sk" attribute="1" defaultMemberUniqueName="[imovel_dimension].[im_sk].[All]" allUniqueName="[imovel_dimension].[im_sk].[All]" dimensionUniqueName="[imovel_dimension]" displayFolder="" count="2" memberValueDatatype="20" unbalanced="0"/>
    <cacheHierarchy uniqueName="[imovel_dimension].[im_id]" caption="im_id" attribute="1" defaultMemberUniqueName="[imovel_dimension].[im_id].[All]" allUniqueName="[imovel_dimension].[im_id].[All]" dimensionUniqueName="[imovel_dimension]" displayFolder="" count="2" memberValueDatatype="20" unbalanced="0"/>
    <cacheHierarchy uniqueName="[imovel_dimension].[im_logradouro]" caption="im_logradouro" attribute="1" defaultMemberUniqueName="[imovel_dimension].[im_logradouro].[All]" allUniqueName="[imovel_dimension].[im_logradouro].[All]" dimensionUniqueName="[imovel_dimension]" displayFolder="" count="2" memberValueDatatype="130" unbalanced="0"/>
    <cacheHierarchy uniqueName="[imovel_dimension].[im_bairro]" caption="im_bairro" attribute="1" defaultMemberUniqueName="[imovel_dimension].[im_bairro].[All]" allUniqueName="[imovel_dimension].[im_bairro].[All]" dimensionUniqueName="[imovel_dimension]" displayFolder="" count="2" memberValueDatatype="130" unbalanced="0"/>
    <cacheHierarchy uniqueName="[imovel_dimension].[im_cidade]" caption="im_cidade" attribute="1" defaultMemberUniqueName="[imovel_dimension].[im_cidade].[All]" allUniqueName="[imovel_dimension].[im_cidade].[All]" dimensionUniqueName="[imovel_dimension]" displayFolder="" count="2" memberValueDatatype="130" unbalanced="0"/>
    <cacheHierarchy uniqueName="[imovel_dimension].[im_estado]" caption="im_estado" attribute="1" defaultMemberUniqueName="[imovel_dimension].[im_estado].[All]" allUniqueName="[imovel_dimension].[im_estado].[All]" dimensionUniqueName="[imovel_dimension]" displayFolder="" count="2" memberValueDatatype="130" unbalanced="0"/>
    <cacheHierarchy uniqueName="[imovel_dimension].[im_num_anuncios]" caption="im_num_anuncios" attribute="1" defaultMemberUniqueName="[imovel_dimension].[im_num_anuncios].[All]" allUniqueName="[imovel_dimension].[im_num_anuncios].[All]" dimensionUniqueName="[imovel_dimension]" displayFolder="" count="2" memberValueDatatype="20" unbalanced="0"/>
    <cacheHierarchy uniqueName="[imovel_dimension].[im_gasto_em_anuncios]" caption="im_gasto_em_anuncios" attribute="1" defaultMemberUniqueName="[imovel_dimension].[im_gasto_em_anuncios].[All]" allUniqueName="[imovel_dimension].[im_gasto_em_anuncios].[All]" dimensionUniqueName="[imovel_dimension]" displayFolder="" count="2" memberValueDatatype="5" unbalanced="0"/>
    <cacheHierarchy uniqueName="[imovel_dimension].[im_dt_inicio]" caption="im_dt_inicio" attribute="1" time="1" defaultMemberUniqueName="[imovel_dimension].[im_dt_inicio].[All]" allUniqueName="[imovel_dimension].[im_dt_inicio].[All]" dimensionUniqueName="[imovel_dimension]" displayFolder="" count="2" memberValueDatatype="7" unbalanced="0"/>
    <cacheHierarchy uniqueName="[imovel_dimension].[im_dt_fim]" caption="im_dt_fim" attribute="1" defaultMemberUniqueName="[imovel_dimension].[im_dt_fim].[All]" allUniqueName="[imovel_dimension].[im_dt_fim].[All]" dimensionUniqueName="[imovel_dimension]" displayFolder="" count="2" memberValueDatatype="130" unbalanced="0"/>
    <cacheHierarchy uniqueName="[imovel_dimension].[im_is_atual]" caption="im_is_atual" attribute="1" defaultMemberUniqueName="[imovel_dimension].[im_is_atual].[All]" allUniqueName="[imovel_dimension].[im_is_atual].[All]" dimensionUniqueName="[imovel_dimension]" displayFolder="" count="2" memberValueDatatype="130" unbalanced="0"/>
    <cacheHierarchy uniqueName="[receita_agregada_fact].[ra_sk]" caption="ra_sk" attribute="1" defaultMemberUniqueName="[receita_agregada_fact].[ra_sk].[All]" allUniqueName="[receita_agregada_fact].[ra_sk].[All]" dimensionUniqueName="[receita_agregada_fact]" displayFolder="" count="2" memberValueDatatype="20" unbalanced="0"/>
    <cacheHierarchy uniqueName="[receita_agregada_fact].[ra_comissao_total]" caption="ra_comissao_total" attribute="1" defaultMemberUniqueName="[receita_agregada_fact].[ra_comissao_total].[All]" allUniqueName="[receita_agregada_fact].[ra_comissao_total].[All]" dimensionUniqueName="[receita_agregada_fact]" displayFolder="" count="2" memberValueDatatype="5" unbalanced="0"/>
    <cacheHierarchy uniqueName="[receita_agregada_fact].[im_sk]" caption="im_sk" attribute="1" defaultMemberUniqueName="[receita_agregada_fact].[im_sk].[All]" allUniqueName="[receita_agregada_fact].[im_sk].[All]" dimensionUniqueName="[receita_agregada_fact]" displayFolder="" count="2" memberValueDatatype="20" unbalanced="0"/>
    <cacheHierarchy uniqueName="[receita_agregada_fact].[dt_sk]" caption="dt_sk" attribute="1" defaultMemberUniqueName="[receita_agregada_fact].[dt_sk].[All]" allUniqueName="[receita_agregada_fact].[dt_sk].[All]" dimensionUniqueName="[receita_agregada_fact]" displayFolder="" count="2" memberValueDatatype="20" unbalanced="0"/>
    <cacheHierarchy uniqueName="[trans_venda_fact].[tv_sk]" caption="tv_sk" attribute="1" defaultMemberUniqueName="[trans_venda_fact].[tv_sk].[All]" allUniqueName="[trans_venda_fact].[tv_sk].[All]" dimensionUniqueName="[trans_venda_fact]" displayFolder="" count="2" memberValueDatatype="20" unbalanced="0"/>
    <cacheHierarchy uniqueName="[trans_venda_fact].[tv_id]" caption="tv_id" attribute="1" defaultMemberUniqueName="[trans_venda_fact].[tv_id].[All]" allUniqueName="[trans_venda_fact].[tv_id].[All]" dimensionUniqueName="[trans_venda_fact]" displayFolder="" count="2" memberValueDatatype="20" unbalanced="0"/>
    <cacheHierarchy uniqueName="[trans_venda_fact].[tv_valor]" caption="tv_valor" attribute="1" defaultMemberUniqueName="[trans_venda_fact].[tv_valor].[All]" allUniqueName="[trans_venda_fact].[tv_valor].[All]" dimensionUniqueName="[trans_venda_fact]" displayFolder="" count="2" memberValueDatatype="5" unbalanced="0"/>
    <cacheHierarchy uniqueName="[trans_venda_fact].[tv_valor_cliente]" caption="tv_valor_cliente" attribute="1" defaultMemberUniqueName="[trans_venda_fact].[tv_valor_cliente].[All]" allUniqueName="[trans_venda_fact].[tv_valor_cliente].[All]" dimensionUniqueName="[trans_venda_fact]" displayFolder="" count="2" memberValueDatatype="5" unbalanced="0"/>
    <cacheHierarchy uniqueName="[trans_venda_fact].[tv_comissao]" caption="tv_comissao" attribute="1" defaultMemberUniqueName="[trans_venda_fact].[tv_comissao].[All]" allUniqueName="[trans_venda_fact].[tv_comissao].[All]" dimensionUniqueName="[trans_venda_fact]" displayFolder="" count="2" memberValueDatatype="5" unbalanced="0"/>
    <cacheHierarchy uniqueName="[trans_venda_fact].[tv_comissao_cliente]" caption="tv_comissao_cliente" attribute="1" defaultMemberUniqueName="[trans_venda_fact].[tv_comissao_cliente].[All]" allUniqueName="[trans_venda_fact].[tv_comissao_cliente].[All]" dimensionUniqueName="[trans_venda_fact]" displayFolder="" count="2" memberValueDatatype="5" unbalanced="0"/>
    <cacheHierarchy uniqueName="[trans_venda_fact].[tv_tipo_cliente]" caption="tv_tipo_cliente" attribute="1" defaultMemberUniqueName="[trans_venda_fact].[tv_tipo_cliente].[All]" allUniqueName="[trans_venda_fact].[tv_tipo_cliente].[All]" dimensionUniqueName="[trans_venda_fact]" displayFolder="" count="2" memberValueDatatype="130" unbalanced="0">
      <fieldsUsage count="2">
        <fieldUsage x="-1"/>
        <fieldUsage x="0"/>
      </fieldsUsage>
    </cacheHierarchy>
    <cacheHierarchy uniqueName="[trans_venda_fact].[tv_total_compradores]" caption="tv_total_compradores" attribute="1" defaultMemberUniqueName="[trans_venda_fact].[tv_total_compradores].[All]" allUniqueName="[trans_venda_fact].[tv_total_compradores].[All]" dimensionUniqueName="[trans_venda_fact]" displayFolder="" count="2" memberValueDatatype="20" unbalanced="0"/>
    <cacheHierarchy uniqueName="[trans_venda_fact].[tv_total_vendedores]" caption="tv_total_vendedores" attribute="1" defaultMemberUniqueName="[trans_venda_fact].[tv_total_vendedores].[All]" allUniqueName="[trans_venda_fact].[tv_total_vendedores].[All]" dimensionUniqueName="[trans_venda_fact]" displayFolder="" count="2" memberValueDatatype="20" unbalanced="0"/>
    <cacheHierarchy uniqueName="[trans_venda_fact].[cor_sk]" caption="cor_sk" attribute="1" defaultMemberUniqueName="[trans_venda_fact].[cor_sk].[All]" allUniqueName="[trans_venda_fact].[cor_sk].[All]" dimensionUniqueName="[trans_venda_fact]" displayFolder="" count="2" memberValueDatatype="20" unbalanced="0"/>
    <cacheHierarchy uniqueName="[trans_venda_fact].[im_sk]" caption="im_sk" attribute="1" defaultMemberUniqueName="[trans_venda_fact].[im_sk].[All]" allUniqueName="[trans_venda_fact].[im_sk].[All]" dimensionUniqueName="[trans_venda_fact]" displayFolder="" count="2" memberValueDatatype="20" unbalanced="0"/>
    <cacheHierarchy uniqueName="[trans_venda_fact].[cl_sk]" caption="cl_sk" attribute="1" defaultMemberUniqueName="[trans_venda_fact].[cl_sk].[All]" allUniqueName="[trans_venda_fact].[cl_sk].[All]" dimensionUniqueName="[trans_venda_fact]" displayFolder="" count="2" memberValueDatatype="20" unbalanced="0">
      <fieldsUsage count="2">
        <fieldUsage x="-1"/>
        <fieldUsage x="2"/>
      </fieldsUsage>
    </cacheHierarchy>
    <cacheHierarchy uniqueName="[trans_venda_fact].[dt_sk]" caption="dt_sk" attribute="1" defaultMemberUniqueName="[trans_venda_fact].[dt_sk].[All]" allUniqueName="[trans_venda_fact].[dt_sk].[All]" dimensionUniqueName="[trans_venda_fact]" displayFolder="" count="2" memberValueDatatype="20" unbalanced="0"/>
    <cacheHierarchy uniqueName="[data_dimension].[dt_data_completa (Índice de Mês)]" caption="dt_data_completa (Índice de Mês)" attribute="1" defaultMemberUniqueName="[data_dimension].[dt_data_completa (Índice de Mês)].[All]" allUniqueName="[data_dimension].[dt_data_completa (Índice de Mês)].[All]" dimensionUniqueName="[data_dimension]" displayFolder="" count="2" memberValueDatatype="20" unbalanced="0" hidden="1"/>
    <cacheHierarchy uniqueName="[Measures].[__XL_Count data_dimension]" caption="__XL_Count data_dimension" measure="1" displayFolder="" measureGroup="data_dimension" count="0" hidden="1"/>
    <cacheHierarchy uniqueName="[Measures].[__XL_Count corretor_dimension  2]" caption="__XL_Count corretor_dimension  2" measure="1" displayFolder="" measureGroup="corretor_dimension  2" count="0" hidden="1"/>
    <cacheHierarchy uniqueName="[Measures].[__XL_Count imovel_dimension]" caption="__XL_Count imovel_dimension" measure="1" displayFolder="" measureGroup="imovel_dimension" count="0" hidden="1"/>
    <cacheHierarchy uniqueName="[Measures].[__XL_Count receita_agregada_fact]" caption="__XL_Count receita_agregada_fact" measure="1" displayFolder="" measureGroup="receita_agregada_fact" count="0" hidden="1"/>
    <cacheHierarchy uniqueName="[Measures].[__XL_Count cliente_dimension]" caption="__XL_Count cliente_dimension" measure="1" displayFolder="" measureGroup="cliente_dimension" count="0" hidden="1"/>
    <cacheHierarchy uniqueName="[Measures].[__XL_Count trans_venda_fact]" caption="__XL_Count trans_venda_fact" measure="1" displayFolder="" measureGroup="trans_venda_fact" count="0" hidden="1"/>
    <cacheHierarchy uniqueName="[Measures].[__No measures defined]" caption="__No measures defined" measure="1" displayFolder="" count="0" hidden="1"/>
    <cacheHierarchy uniqueName="[Measures].[Soma de dt_dia_semana]" caption="Soma de dt_dia_semana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a de tv_valor]" caption="Soma de tv_valor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oma de tv_id]" caption="Soma de tv_id" measure="1" displayFolder="" measureGroup="trans_venda_fa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Contagem de tv_id]" caption="Contagem de tv_id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oma de dt_dia_mes]" caption="Soma de dt_dia_mes" measure="1" displayFolder="" measureGroup="data_dimension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a de ra_comissao_total]" caption="Soma de ra_comissao_total" measure="1" displayFolder="" measureGroup="receita_agregada_fact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a de tv_comissao]" caption="Soma de tv_comissao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ntagem de tv_tipo_cliente]" caption="Contagem de tv_tipo_cliente" measure="1" displayFolder="" measureGroup="trans_venda_fact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</cacheHierarchies>
  <kpis count="0"/>
  <dimensions count="7">
    <dimension name="cliente_dimension" uniqueName="[cliente_dimension]" caption="cliente_dimension"/>
    <dimension name="corretor_dimension  2" uniqueName="[corretor_dimension  2]" caption="corretor_dimension  2"/>
    <dimension name="data_dimension" uniqueName="[data_dimension]" caption="data_dimension"/>
    <dimension name="imovel_dimension" uniqueName="[imovel_dimension]" caption="imovel_dimension"/>
    <dimension measure="1" name="Measures" uniqueName="[Measures]" caption="Measures"/>
    <dimension name="receita_agregada_fact" uniqueName="[receita_agregada_fact]" caption="receita_agregada_fact"/>
    <dimension name="trans_venda_fact" uniqueName="[trans_venda_fact]" caption="trans_venda_fact"/>
  </dimensions>
  <measureGroups count="6">
    <measureGroup name="cliente_dimension" caption="cliente_dimension"/>
    <measureGroup name="corretor_dimension  2" caption="corretor_dimension  2"/>
    <measureGroup name="data_dimension" caption="data_dimension"/>
    <measureGroup name="imovel_dimension" caption="imovel_dimension"/>
    <measureGroup name="receita_agregada_fact" caption="receita_agregada_fact"/>
    <measureGroup name="trans_venda_fact" caption="trans_venda_fact"/>
  </measureGroups>
  <maps count="12">
    <map measureGroup="0" dimension="0"/>
    <map measureGroup="1" dimension="1"/>
    <map measureGroup="2" dimension="2"/>
    <map measureGroup="3" dimension="3"/>
    <map measureGroup="4" dimension="2"/>
    <map measureGroup="4" dimension="3"/>
    <map measureGroup="4" dimension="5"/>
    <map measureGroup="5" dimension="0"/>
    <map measureGroup="5" dimension="1"/>
    <map measureGroup="5" dimension="2"/>
    <map measureGroup="5" dimension="3"/>
    <map measureGroup="5" dimension="6"/>
  </maps>
  <extLst>
    <ext xmlns:x14="http://schemas.microsoft.com/office/spreadsheetml/2009/9/main" uri="{725AE2AE-9491-48be-B2B4-4EB974FC3084}">
      <x14:pivotCacheDefinition pivotCacheId="34556563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37776-3B9F-4135-85FD-FA5F090CEBFD}" name="PivotChartTable5" cacheId="11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:B4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oma de tv_id" fld="1" baseField="0" baseItem="0"/>
  </dataFields>
  <chartFormats count="3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345565638">
        <x15:pivotRow count="1">
          <x15:c>
            <x15:v>595</x15:v>
          </x15:c>
        </x15:pivotRow>
        <x15:pivotRow count="1">
          <x15:c>
            <x15:v>538</x15:v>
          </x15:c>
        </x15:pivotRow>
        <x15:pivotRow count="1">
          <x15:c>
            <x15:v>1133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rans_venda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2162D-5D12-41E5-9E4C-641085242794}" name="PivotChartTable4" cacheId="740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6">
  <location ref="A3:B34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llDrilled="1" subtotalTop="0" showAll="0" dataSourceSort="1" defaultSubtotal="0" defaultAttributeDrillState="1"/>
  </pivotFields>
  <rowFields count="2">
    <field x="2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3"/>
    </i>
    <i t="grand">
      <x/>
    </i>
  </rowItems>
  <colItems count="1">
    <i/>
  </colItems>
  <dataFields count="1">
    <dataField name="Contagem de tv_id" fld="0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rans_venda_fact].[cor_sk].&amp;[7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ntagem de tv_id"/>
    <pivotHierarchy dragToData="1"/>
    <pivotHierarchy dragToData="1"/>
    <pivotHierarchy dragToData="1"/>
    <pivotHierarchy dragToData="1"/>
  </pivotHierarchies>
  <rowHierarchiesUsage count="2">
    <rowHierarchyUsage hierarchyUsage="22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1" columnCount="1" cacheId="1278288276">
        <x15:pivotRow count="1">
          <x15:c t="e">
            <x15:v/>
          </x15:c>
        </x15:pivotRow>
        <x15:pivotRow count="1">
          <x15:c>
            <x15:v>3</x15:v>
          </x15:c>
        </x15:pivotRow>
        <x15:pivotRow count="1">
          <x15:c>
            <x15:v>4</x15:v>
          </x15:c>
        </x15:pivotRow>
        <x15:pivotRow count="1">
          <x15:c>
            <x15:v>2</x15:v>
          </x15:c>
        </x15:pivotRow>
        <x15:pivotRow count="1">
          <x15:c>
            <x15:v>2</x15:v>
          </x15:c>
        </x15:pivotRow>
        <x15:pivotRow count="1">
          <x15:c>
            <x15:v>3</x15:v>
          </x15:c>
        </x15:pivotRow>
        <x15:pivotRow count="1">
          <x15:c>
            <x15:v>2</x15:v>
          </x15:c>
        </x15:pivotRow>
        <x15:pivotRow count="1">
          <x15:c t="e">
            <x15:v/>
          </x15:c>
        </x15:pivotRow>
        <x15:pivotRow count="1">
          <x15:c>
            <x15:v>2</x15:v>
          </x15:c>
        </x15:pivotRow>
        <x15:pivotRow count="1">
          <x15:c>
            <x15:v>4</x15:v>
          </x15:c>
        </x15:pivotRow>
        <x15:pivotRow count="1">
          <x15:c>
            <x15:v>3</x15:v>
          </x15:c>
        </x15:pivotRow>
        <x15:pivotRow count="1">
          <x15:c>
            <x15:v>2</x15:v>
          </x15:c>
        </x15:pivotRow>
        <x15:pivotRow count="1">
          <x15:c>
            <x15:v>3</x15:v>
          </x15:c>
        </x15:pivotRow>
        <x15:pivotRow count="1">
          <x15:c>
            <x15:v>2</x15:v>
          </x15:c>
        </x15:pivotRow>
        <x15:pivotRow count="1">
          <x15:c t="e">
            <x15:v/>
          </x15:c>
        </x15:pivotRow>
        <x15:pivotRow count="1">
          <x15:c>
            <x15:v>2</x15:v>
          </x15:c>
        </x15:pivotRow>
        <x15:pivotRow count="1">
          <x15:c>
            <x15:v>3</x15:v>
          </x15:c>
        </x15:pivotRow>
        <x15:pivotRow count="1">
          <x15:c>
            <x15:v>2</x15:v>
          </x15:c>
        </x15:pivotRow>
        <x15:pivotRow count="1">
          <x15:c>
            <x15:v>2</x15:v>
          </x15:c>
        </x15:pivotRow>
        <x15:pivotRow count="1">
          <x15:c>
            <x15:v>2</x15:v>
          </x15:c>
        </x15:pivotRow>
        <x15:pivotRow count="1">
          <x15:c>
            <x15:v>2</x15:v>
          </x15:c>
        </x15:pivotRow>
        <x15:pivotRow count="1">
          <x15:c t="e">
            <x15:v/>
          </x15:c>
        </x15:pivotRow>
        <x15:pivotRow count="1">
          <x15:c>
            <x15:v>3</x15:v>
          </x15:c>
        </x15:pivotRow>
        <x15:pivotRow count="1">
          <x15:c>
            <x15:v>4</x15:v>
          </x15:c>
        </x15:pivotRow>
        <x15:pivotRow count="1">
          <x15:c>
            <x15:v>3</x15:v>
          </x15:c>
        </x15:pivotRow>
        <x15:pivotRow count="1">
          <x15:c>
            <x15:v>4</x15:v>
          </x15:c>
        </x15:pivotRow>
        <x15:pivotRow count="1">
          <x15:c>
            <x15:v>2</x15:v>
          </x15:c>
        </x15:pivotRow>
        <x15:pivotRow count="1">
          <x15:c>
            <x15:v>2</x15:v>
          </x15:c>
        </x15:pivotRow>
        <x15:pivotRow count="1">
          <x15:c t="e">
            <x15:v/>
          </x15:c>
        </x15:pivotRow>
        <x15:pivotRow count="1">
          <x15:c>
            <x15:v>6</x15:v>
          </x15:c>
        </x15:pivotRow>
        <x15:pivotRow count="1">
          <x15:c>
            <x15:v>69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rans_venda_fact]"/>
        <x15:activeTabTopLevelEntity name="[data_dimens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6A6D5-5B3B-4177-BF5C-A9446942BD7D}" name="PivotChartTable3" cacheId="74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:B32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2">
    <field x="1"/>
    <field x="2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3"/>
    </i>
    <i t="grand">
      <x/>
    </i>
  </rowItems>
  <colItems count="1">
    <i/>
  </colItems>
  <dataFields count="1">
    <dataField name="Soma de ra_comissao_total" fld="0" baseField="2" baseItem="0" numFmtId="164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22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1" columnCount="1" cacheId="148796425">
        <x15:pivotRow count="1">
          <x15:c t="e">
            <x15:v/>
          </x15:c>
        </x15:pivotRow>
        <x15:pivotRow count="1">
          <x15:c>
            <x15:v>43359.3</x15:v>
          </x15:c>
        </x15:pivotRow>
        <x15:pivotRow count="1">
          <x15:c>
            <x15:v>18000.03</x15:v>
          </x15:c>
        </x15:pivotRow>
        <x15:pivotRow count="1">
          <x15:c>
            <x15:v>38937.440000000002</x15:v>
          </x15:c>
        </x15:pivotRow>
        <x15:pivotRow count="1">
          <x15:c>
            <x15:v>57404.46</x15:v>
          </x15:c>
        </x15:pivotRow>
        <x15:pivotRow count="1">
          <x15:c>
            <x15:v>31804.080000000002</x15:v>
          </x15:c>
        </x15:pivotRow>
        <x15:pivotRow count="1">
          <x15:c>
            <x15:v>64678.45</x15:v>
          </x15:c>
        </x15:pivotRow>
        <x15:pivotRow count="1">
          <x15:c t="e">
            <x15:v/>
          </x15:c>
        </x15:pivotRow>
        <x15:pivotRow count="1">
          <x15:c>
            <x15:v>31778.51</x15:v>
          </x15:c>
        </x15:pivotRow>
        <x15:pivotRow count="1">
          <x15:c>
            <x15:v>79425.509999999995</x15:v>
          </x15:c>
        </x15:pivotRow>
        <x15:pivotRow count="1">
          <x15:c>
            <x15:v>83120.38</x15:v>
          </x15:c>
        </x15:pivotRow>
        <x15:pivotRow count="1">
          <x15:c>
            <x15:v>25332.25</x15:v>
          </x15:c>
        </x15:pivotRow>
        <x15:pivotRow count="1">
          <x15:c>
            <x15:v>56526.29</x15:v>
          </x15:c>
        </x15:pivotRow>
        <x15:pivotRow count="1">
          <x15:c>
            <x15:v>70617</x15:v>
          </x15:c>
        </x15:pivotRow>
        <x15:pivotRow count="1">
          <x15:c t="e">
            <x15:v/>
          </x15:c>
        </x15:pivotRow>
        <x15:pivotRow count="1">
          <x15:c>
            <x15:v>74753.759999999995</x15:v>
          </x15:c>
        </x15:pivotRow>
        <x15:pivotRow count="1">
          <x15:c>
            <x15:v>48923.59</x15:v>
          </x15:c>
        </x15:pivotRow>
        <x15:pivotRow count="1">
          <x15:c>
            <x15:v>85790.42</x15:v>
          </x15:c>
        </x15:pivotRow>
        <x15:pivotRow count="1">
          <x15:c>
            <x15:v>46557.7</x15:v>
          </x15:c>
        </x15:pivotRow>
        <x15:pivotRow count="1">
          <x15:c>
            <x15:v>23741.48</x15:v>
          </x15:c>
        </x15:pivotRow>
        <x15:pivotRow count="1">
          <x15:c>
            <x15:v>71190.86</x15:v>
          </x15:c>
        </x15:pivotRow>
        <x15:pivotRow count="1">
          <x15:c t="e">
            <x15:v/>
          </x15:c>
        </x15:pivotRow>
        <x15:pivotRow count="1">
          <x15:c>
            <x15:v>28940.61</x15:v>
          </x15:c>
        </x15:pivotRow>
        <x15:pivotRow count="1">
          <x15:c>
            <x15:v>14806.6</x15:v>
          </x15:c>
        </x15:pivotRow>
        <x15:pivotRow count="1">
          <x15:c>
            <x15:v>30493.58</x15:v>
          </x15:c>
        </x15:pivotRow>
        <x15:pivotRow count="1">
          <x15:c>
            <x15:v>78883.12</x15:v>
          </x15:c>
        </x15:pivotRow>
        <x15:pivotRow count="1">
          <x15:c>
            <x15:v>41273.57</x15:v>
          </x15:c>
        </x15:pivotRow>
        <x15:pivotRow count="1">
          <x15:c>
            <x15:v>34045.21</x15:v>
          </x15:c>
        </x15:pivotRow>
        <x15:pivotRow count="1">
          <x15:c t="e">
            <x15:v/>
          </x15:c>
        </x15:pivotRow>
        <x15:pivotRow count="1">
          <x15:c>
            <x15:v>163815.14000000001</x15:v>
          </x15:c>
        </x15:pivotRow>
        <x15:pivotRow count="1">
          <x15:c>
            <x15:v>1344199.34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receita_agregada_fact]"/>
        <x15:activeTabTopLevelEntity name="[data_dimens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23624-7C8C-4F5A-8758-6D2AA91980F4}" name="PivotChartTable1" cacheId="71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4">
  <location ref="A1:A8" firstHeaderRow="1" firstDataRow="1" firstDataCol="1"/>
  <pivotFields count="2"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rans_venda_fact].[cor_sk].&amp;[5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ceita_agregada_fact]"/>
        <x15:activeTabTopLevelEntity name="[data_dimension]"/>
        <x15:activeTabTopLevelEntity name="[trans_venda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FAFE8-9994-40E2-95AF-68285DB03AB5}" name="PivotChartTable2" cacheId="74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4">
  <location ref="A1:B32" firstHeaderRow="1" firstDataRow="1" firstDataCol="1"/>
  <pivotFields count="3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 v="3"/>
    </i>
    <i t="grand">
      <x/>
    </i>
  </rowItems>
  <colItems count="1">
    <i/>
  </colItems>
  <dataFields count="1">
    <dataField name="Soma de tv_comissao" fld="2" baseField="1" baseItem="3" numFmtId="164"/>
  </dataFields>
  <chartFormats count="1">
    <chartFormat chart="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ntagem de tv_id"/>
    <pivotHierarchy dragToData="1"/>
    <pivotHierarchy dragToData="1"/>
    <pivotHierarchy dragToData="1"/>
    <pivotHierarchy dragToData="1"/>
  </pivotHierarchies>
  <rowHierarchiesUsage count="2">
    <rowHierarchyUsage hierarchyUsage="22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1" columnCount="1" cacheId="1580670966">
        <x15:pivotRow count="1">
          <x15:c t="bl">
            <x15:v/>
          </x15:c>
        </x15:pivotRow>
        <x15:pivotRow count="1">
          <x15:c>
            <x15:v>86718.6</x15:v>
          </x15:c>
        </x15:pivotRow>
        <x15:pivotRow count="1">
          <x15:c>
            <x15:v>36000.06</x15:v>
          </x15:c>
        </x15:pivotRow>
        <x15:pivotRow count="1">
          <x15:c>
            <x15:v>77874.880000000005</x15:v>
          </x15:c>
        </x15:pivotRow>
        <x15:pivotRow count="1">
          <x15:c>
            <x15:v>114808.92</x15:v>
          </x15:c>
        </x15:pivotRow>
        <x15:pivotRow count="1">
          <x15:c>
            <x15:v>63608.160000000003</x15:v>
          </x15:c>
        </x15:pivotRow>
        <x15:pivotRow count="1">
          <x15:c>
            <x15:v>129356.9</x15:v>
          </x15:c>
        </x15:pivotRow>
        <x15:pivotRow count="1">
          <x15:c t="bl">
            <x15:v/>
          </x15:c>
        </x15:pivotRow>
        <x15:pivotRow count="1">
          <x15:c>
            <x15:v>63557.02</x15:v>
          </x15:c>
        </x15:pivotRow>
        <x15:pivotRow count="1">
          <x15:c>
            <x15:v>158851.01999999999</x15:v>
          </x15:c>
        </x15:pivotRow>
        <x15:pivotRow count="1">
          <x15:c>
            <x15:v>166240.76</x15:v>
          </x15:c>
        </x15:pivotRow>
        <x15:pivotRow count="1">
          <x15:c>
            <x15:v>50664.5</x15:v>
          </x15:c>
        </x15:pivotRow>
        <x15:pivotRow count="1">
          <x15:c>
            <x15:v>113052.58</x15:v>
          </x15:c>
        </x15:pivotRow>
        <x15:pivotRow count="1">
          <x15:c>
            <x15:v>141234</x15:v>
          </x15:c>
        </x15:pivotRow>
        <x15:pivotRow count="1">
          <x15:c t="bl">
            <x15:v/>
          </x15:c>
        </x15:pivotRow>
        <x15:pivotRow count="1">
          <x15:c>
            <x15:v>149507.51999999999</x15:v>
          </x15:c>
        </x15:pivotRow>
        <x15:pivotRow count="1">
          <x15:c>
            <x15:v>97847.18</x15:v>
          </x15:c>
        </x15:pivotRow>
        <x15:pivotRow count="1">
          <x15:c>
            <x15:v>171580.84</x15:v>
          </x15:c>
        </x15:pivotRow>
        <x15:pivotRow count="1">
          <x15:c>
            <x15:v>93115.4</x15:v>
          </x15:c>
        </x15:pivotRow>
        <x15:pivotRow count="1">
          <x15:c>
            <x15:v>47482.96</x15:v>
          </x15:c>
        </x15:pivotRow>
        <x15:pivotRow count="1">
          <x15:c>
            <x15:v>142381.72</x15:v>
          </x15:c>
        </x15:pivotRow>
        <x15:pivotRow count="1">
          <x15:c t="bl">
            <x15:v/>
          </x15:c>
        </x15:pivotRow>
        <x15:pivotRow count="1">
          <x15:c>
            <x15:v>57881.22</x15:v>
          </x15:c>
        </x15:pivotRow>
        <x15:pivotRow count="1">
          <x15:c>
            <x15:v>29613.200000000001</x15:v>
          </x15:c>
        </x15:pivotRow>
        <x15:pivotRow count="1">
          <x15:c>
            <x15:v>60987.16</x15:v>
          </x15:c>
        </x15:pivotRow>
        <x15:pivotRow count="1">
          <x15:c>
            <x15:v>157766.24</x15:v>
          </x15:c>
        </x15:pivotRow>
        <x15:pivotRow count="1">
          <x15:c>
            <x15:v>82547.14</x15:v>
          </x15:c>
        </x15:pivotRow>
        <x15:pivotRow count="1">
          <x15:c>
            <x15:v>68090.42</x15:v>
          </x15:c>
        </x15:pivotRow>
        <x15:pivotRow count="1">
          <x15:c t="bl">
            <x15:v/>
          </x15:c>
        </x15:pivotRow>
        <x15:pivotRow count="1">
          <x15:c>
            <x15:v>327630.28000000003</x15:v>
          </x15:c>
        </x15:pivotRow>
        <x15:pivotRow count="1">
          <x15:c>
            <x15:v>2688398.68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rans_venda_fact]"/>
        <x15:activeTabTopLevelEntity name="[data_dimens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0B956-CFFC-4740-8424-D2BF670D489C}" name="Tabela dinâmica4" cacheId="1114" applyNumberFormats="0" applyBorderFormats="0" applyFontFormats="0" applyPatternFormats="0" applyAlignmentFormats="0" applyWidthHeightFormats="1" dataCaption="Valores" tag="b5aa9460-e3bb-43bf-a03f-a1fa46fe52f8" updatedVersion="8" minRefreshableVersion="3" useAutoFormatting="1" subtotalHiddenItems="1" itemPrintTitles="1" createdVersion="8" indent="0" outline="1" outlineData="1" multipleFieldFilters="0">
  <location ref="K44:K45" firstHeaderRow="1" firstDataRow="1" firstDataCol="0"/>
  <pivotFields count="2">
    <pivotField allDrilled="1" subtotalTop="0" showAll="0" dataSourceSort="1" defaultSubtotal="0" defaultAttributeDrillState="1"/>
    <pivotField dataField="1" subtotalTop="0" showAll="0" defaultSubtotal="0"/>
  </pivotFields>
  <rowItems count="1">
    <i/>
  </rowItems>
  <colItems count="1">
    <i/>
  </colItems>
  <dataFields count="1">
    <dataField name="Total arrecadado" fld="1" baseField="0" baseItem="0"/>
  </dataFields>
  <formats count="8">
    <format dxfId="400">
      <pivotArea type="all" dataOnly="0" outline="0" fieldPosition="0"/>
    </format>
    <format dxfId="401">
      <pivotArea outline="0" collapsedLevelsAreSubtotals="1" fieldPosition="0"/>
    </format>
    <format dxfId="402">
      <pivotArea dataOnly="0" labelOnly="1" outline="0" axis="axisValues" fieldPosition="0"/>
    </format>
    <format dxfId="403">
      <pivotArea type="all" dataOnly="0" outline="0" fieldPosition="0"/>
    </format>
    <format dxfId="404">
      <pivotArea type="all" dataOnly="0" outline="0" fieldPosition="0"/>
    </format>
    <format dxfId="405">
      <pivotArea outline="0" collapsedLevelsAreSubtotals="1" fieldPosition="0"/>
    </format>
    <format dxfId="406">
      <pivotArea dataOnly="0" labelOnly="1" outline="0" axis="axisValues" fieldPosition="0"/>
    </format>
    <format dxfId="407">
      <pivotArea outline="0" collapsedLevelsAreSubtotals="1" fieldPosition="0"/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Total arrecadado"/>
    <pivotHierarchy dragToData="1"/>
    <pivotHierarchy dragToData="1"/>
    <pivotHierarchy dragToData="1"/>
    <pivotHierarchy dragToData="1" caption="Total arrecadado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dimension]"/>
        <x15:activeTabTopLevelEntity name="[trans_venda_fact]"/>
        <x15:activeTabTopLevelEntity name="[receita_agregada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72930-2757-4500-A70A-C11CC3A363EA}" name="Tabela dinâmica3" cacheId="1111" applyNumberFormats="0" applyBorderFormats="0" applyFontFormats="0" applyPatternFormats="0" applyAlignmentFormats="0" applyWidthHeightFormats="1" dataCaption="Valores" tag="fe61cf93-66f9-407c-9895-aa9c2b935b24" updatedVersion="8" minRefreshableVersion="3" useAutoFormatting="1" subtotalHiddenItems="1" itemPrintTitles="1" createdVersion="8" indent="0" outline="1" outlineData="1" multipleFieldFilters="0">
  <location ref="K39:K40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Montante movimentado" fld="0" baseField="0" baseItem="0" numFmtId="165"/>
  </dataFields>
  <formats count="8">
    <format dxfId="608">
      <pivotArea type="all" dataOnly="0" outline="0" fieldPosition="0"/>
    </format>
    <format dxfId="609">
      <pivotArea outline="0" collapsedLevelsAreSubtotals="1" fieldPosition="0"/>
    </format>
    <format dxfId="610">
      <pivotArea dataOnly="0" labelOnly="1" outline="0" axis="axisValues" fieldPosition="0"/>
    </format>
    <format dxfId="611">
      <pivotArea type="all" dataOnly="0" outline="0" fieldPosition="0"/>
    </format>
    <format dxfId="612">
      <pivotArea type="all" dataOnly="0" outline="0" fieldPosition="0"/>
    </format>
    <format dxfId="613">
      <pivotArea outline="0" collapsedLevelsAreSubtotals="1" fieldPosition="0"/>
    </format>
    <format dxfId="614">
      <pivotArea dataOnly="0" labelOnly="1" outline="0" axis="axisValues" fieldPosition="0"/>
    </format>
    <format dxfId="615">
      <pivotArea outline="0" collapsedLevelsAreSubtotals="1" fieldPosition="0"/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ontante movimentado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dimension]"/>
        <x15:activeTabTopLevelEntity name="[trans_venda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545756-184D-420A-8032-A7F9E7B6BCE2}" name="Tabela dinâmica5" cacheId="808" applyNumberFormats="0" applyBorderFormats="0" applyFontFormats="0" applyPatternFormats="0" applyAlignmentFormats="0" applyWidthHeightFormats="1" dataCaption="Valores" tag="adc1b0de-a63a-4395-ac3b-6bd2eff8421b" updatedVersion="8" minRefreshableVersion="3" useAutoFormatting="1" subtotalHiddenItems="1" itemPrintTitles="1" createdVersion="8" indent="0" outline="1" outlineData="1" multipleFieldFilters="0">
  <location ref="E21:E2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Montante de vendas" fld="0" baseField="0" baseItem="0" numFmtId="165"/>
  </dataFields>
  <formats count="8">
    <format dxfId="616">
      <pivotArea type="all" dataOnly="0" outline="0" fieldPosition="0"/>
    </format>
    <format dxfId="617">
      <pivotArea outline="0" collapsedLevelsAreSubtotals="1" fieldPosition="0"/>
    </format>
    <format dxfId="618">
      <pivotArea dataOnly="0" labelOnly="1" outline="0" axis="axisValues" fieldPosition="0"/>
    </format>
    <format dxfId="619">
      <pivotArea type="all" dataOnly="0" outline="0" fieldPosition="0"/>
    </format>
    <format dxfId="620">
      <pivotArea type="all" dataOnly="0" outline="0" fieldPosition="0"/>
    </format>
    <format dxfId="621">
      <pivotArea outline="0" collapsedLevelsAreSubtotals="1" fieldPosition="0"/>
    </format>
    <format dxfId="622">
      <pivotArea dataOnly="0" labelOnly="1" outline="0" axis="axisValues" fieldPosition="0"/>
    </format>
    <format dxfId="623">
      <pivotArea outline="0" collapsedLevelsAreSubtotals="1" fieldPosition="0"/>
    </format>
  </formats>
  <pivotHierarchies count="6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trans_venda_fact].[cl_sk].&amp;[4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ontante de venda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dimension]"/>
        <x15:activeTabTopLevelEntity name="[trans_venda_fa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7" xr16:uid="{7AF5900B-2082-40D0-9596-42627C17E510}" autoFormatId="16" applyNumberFormats="0" applyBorderFormats="0" applyFontFormats="0" applyPatternFormats="0" applyAlignmentFormats="0" applyWidthHeightFormats="0">
  <queryTableRefresh nextId="10">
    <queryTableFields count="9">
      <queryTableField id="1" name="dt_sk" tableColumnId="1"/>
      <queryTableField id="2" name="dt_data_completa" tableColumnId="2"/>
      <queryTableField id="3" name="dt_dia_semana" tableColumnId="3"/>
      <queryTableField id="4" name="dt_dia_mes" tableColumnId="4"/>
      <queryTableField id="5" name="dt_mes" tableColumnId="5"/>
      <queryTableField id="6" name="dt_ano" tableColumnId="6"/>
      <queryTableField id="7" name="dt_trimestre" tableColumnId="7"/>
      <queryTableField id="8" name="dt_data_completa (Índice de Mês)" tableColumnId="8"/>
      <queryTableField id="9" name="dt_data_completa (Mês)" tableColumnId="9"/>
    </queryTableFields>
  </queryTableRefresh>
  <extLst>
    <ext xmlns:x15="http://schemas.microsoft.com/office/spreadsheetml/2010/11/main" uri="{883FBD77-0823-4a55-B5E3-86C4891E6966}">
      <x15:queryTable sourceDataName="Consulta - data_dimension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9" xr16:uid="{2739EF38-50B9-4CD7-A378-264C747C570A}" autoFormatId="16" applyNumberFormats="0" applyBorderFormats="0" applyFontFormats="0" applyPatternFormats="0" applyAlignmentFormats="0" applyWidthHeightFormats="0">
  <queryTableRefresh nextId="14">
    <queryTableFields count="13">
      <queryTableField id="1" name="tv_sk" tableColumnId="1"/>
      <queryTableField id="2" name="tv_id" tableColumnId="2"/>
      <queryTableField id="3" name="tv_valor" tableColumnId="3"/>
      <queryTableField id="4" name="tv_valor_cliente" tableColumnId="4"/>
      <queryTableField id="5" name="tv_comissao" tableColumnId="5"/>
      <queryTableField id="6" name="tv_comissao_cliente" tableColumnId="6"/>
      <queryTableField id="7" name="tv_tipo_cliente" tableColumnId="7"/>
      <queryTableField id="8" name="tv_total_compradores" tableColumnId="8"/>
      <queryTableField id="9" name="tv_total_vendedores" tableColumnId="9"/>
      <queryTableField id="10" name="cor_sk" tableColumnId="10"/>
      <queryTableField id="11" name="im_sk" tableColumnId="11"/>
      <queryTableField id="12" name="cl_sk" tableColumnId="12"/>
      <queryTableField id="13" name="dt_sk" tableColumnId="13"/>
    </queryTableFields>
  </queryTableRefresh>
  <extLst>
    <ext xmlns:x15="http://schemas.microsoft.com/office/spreadsheetml/2010/11/main" uri="{883FBD77-0823-4a55-B5E3-86C4891E6966}">
      <x15:queryTable sourceDataName="Consulta - trans_venda_fact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8" xr16:uid="{FEC8B1D1-C901-44FA-8E59-6E594592B1D9}" autoFormatId="16" applyNumberFormats="0" applyBorderFormats="0" applyFontFormats="0" applyPatternFormats="0" applyAlignmentFormats="0" applyWidthHeightFormats="0">
  <queryTableRefresh nextId="9">
    <queryTableFields count="8">
      <queryTableField id="1" name="cor_sk" tableColumnId="1"/>
      <queryTableField id="2" name="cor_cpf" tableColumnId="2"/>
      <queryTableField id="3" name="cor_registro" tableColumnId="3"/>
      <queryTableField id="4" name="cor_nome" tableColumnId="4"/>
      <queryTableField id="5" name="cor_sobrenome" tableColumnId="5"/>
      <queryTableField id="6" name="cor_dt_inicio" tableColumnId="6"/>
      <queryTableField id="7" name="cor_dt_fim" tableColumnId="7"/>
      <queryTableField id="8" name="cor_is_atual" tableColumnId="8"/>
    </queryTableFields>
  </queryTableRefresh>
  <extLst>
    <ext xmlns:x15="http://schemas.microsoft.com/office/spreadsheetml/2010/11/main" uri="{883FBD77-0823-4a55-B5E3-86C4891E6966}">
      <x15:queryTable sourceDataName="Consulta - corretor_dimension (2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backgroundRefresh="0" connectionId="10" xr16:uid="{C716B88D-D898-4B6A-B5F3-BC072BBCF0DA}" autoFormatId="16" applyNumberFormats="0" applyBorderFormats="0" applyFontFormats="0" applyPatternFormats="0" applyAlignmentFormats="0" applyWidthHeightFormats="0">
  <queryTableRefresh nextId="12">
    <queryTableFields count="11">
      <queryTableField id="1" name="im_sk" tableColumnId="1"/>
      <queryTableField id="2" name="im_id" tableColumnId="2"/>
      <queryTableField id="3" name="im_logradouro" tableColumnId="3"/>
      <queryTableField id="4" name="im_bairro" tableColumnId="4"/>
      <queryTableField id="5" name="im_cidade" tableColumnId="5"/>
      <queryTableField id="6" name="im_estado" tableColumnId="6"/>
      <queryTableField id="7" name="im_num_anuncios" tableColumnId="7"/>
      <queryTableField id="8" name="im_gasto_em_anuncios" tableColumnId="8"/>
      <queryTableField id="9" name="im_dt_inicio" tableColumnId="9"/>
      <queryTableField id="10" name="im_dt_fim" tableColumnId="10"/>
      <queryTableField id="11" name="im_is_atual" tableColumnId="11"/>
    </queryTableFields>
  </queryTableRefresh>
  <extLst>
    <ext xmlns:x15="http://schemas.microsoft.com/office/spreadsheetml/2010/11/main" uri="{883FBD77-0823-4a55-B5E3-86C4891E6966}">
      <x15:queryTable sourceDataName="Consulta - imovel_dimension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backgroundRefresh="0" connectionId="11" xr16:uid="{B1427E66-555F-4297-A864-EF489F361BD3}" autoFormatId="16" applyNumberFormats="0" applyBorderFormats="0" applyFontFormats="0" applyPatternFormats="0" applyAlignmentFormats="0" applyWidthHeightFormats="0">
  <queryTableRefresh nextId="5">
    <queryTableFields count="4">
      <queryTableField id="1" name="ra_sk" tableColumnId="1"/>
      <queryTableField id="2" name="ra_comissao_total" tableColumnId="2"/>
      <queryTableField id="3" name="im_sk" tableColumnId="3"/>
      <queryTableField id="4" name="dt_sk" tableColumnId="4"/>
    </queryTableFields>
  </queryTableRefresh>
  <extLst>
    <ext xmlns:x15="http://schemas.microsoft.com/office/spreadsheetml/2010/11/main" uri="{883FBD77-0823-4a55-B5E3-86C4891E6966}">
      <x15:queryTable sourceDataName="Consulta - receita_agregada_fact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backgroundRefresh="0" connectionId="12" xr16:uid="{F3ACCA5A-7AAD-4455-A7CF-F3D42BDF7BF9}" autoFormatId="16" applyNumberFormats="0" applyBorderFormats="0" applyFontFormats="0" applyPatternFormats="0" applyAlignmentFormats="0" applyWidthHeightFormats="0">
  <queryTableRefresh nextId="8">
    <queryTableFields count="7">
      <queryTableField id="1" name="cl_sk" tableColumnId="1"/>
      <queryTableField id="2" name="cl_cpf" tableColumnId="2"/>
      <queryTableField id="3" name="cl_nome" tableColumnId="3"/>
      <queryTableField id="4" name="cl_sobrenome" tableColumnId="4"/>
      <queryTableField id="5" name="cl_dt_inicio" tableColumnId="5"/>
      <queryTableField id="6" name="cl_dt_fim" tableColumnId="6"/>
      <queryTableField id="7" name="cl_is_atual" tableColumnId="7"/>
    </queryTableFields>
  </queryTableRefresh>
  <extLst>
    <ext xmlns:x15="http://schemas.microsoft.com/office/spreadsheetml/2010/11/main" uri="{883FBD77-0823-4a55-B5E3-86C4891E6966}">
      <x15:queryTable sourceDataName="Consulta - cliente_dimension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t_data_completa__Mês" xr10:uid="{3F3A7445-994F-48CD-8161-A57F51FBB58D}" sourceName="[data_dimension].[dt_data_completa (Mês)]">
  <data>
    <olap pivotCacheId="829667559">
      <levels count="2">
        <level uniqueName="[data_dimension].[dt_data_completa (Mês)].[(All)]" sourceCaption="(All)" count="0"/>
        <level uniqueName="[data_dimension].[dt_data_completa (Mês)].[dt_data_completa (Mês)]" sourceCaption="dt_data_completa (Mês)" count="6">
          <ranges>
            <range startItem="0">
              <i n="[data_dimension].[dt_data_completa (Mês)].&amp;[Mar]" c="Mar"/>
              <i n="[data_dimension].[dt_data_completa (Mês)].&amp;[Apr]" c="Apr"/>
              <i n="[data_dimension].[dt_data_completa (Mês)].&amp;[May]" c="May"/>
              <i n="[data_dimension].[dt_data_completa (Mês)].&amp;[Jun]" c="Jun"/>
              <i n="[data_dimension].[dt_data_completa (Mês)].&amp;[Jul]" c="Jul"/>
              <i n="[data_dimension].[dt_data_completa (Mês)].&amp;[Aug]" c="Aug"/>
            </range>
          </ranges>
        </level>
      </levels>
      <selections count="5">
        <selection n="[data_dimension].[dt_data_completa (Mês)].&amp;[Apr]"/>
        <selection n="[data_dimension].[dt_data_completa (Mês)].&amp;[Jul]"/>
        <selection n="[data_dimension].[dt_data_completa (Mês)].&amp;[Jun]"/>
        <selection n="[data_dimension].[dt_data_completa (Mês)].&amp;[Mar]"/>
        <selection n="[data_dimension].[dt_data_completa (Mês)].&amp;[May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4"/>
        <pivotTable tabId="4294967295" name="PivotChartTable2"/>
        <pivotTable tabId="4294967295" name="PivotChartTable3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r_sk" xr10:uid="{9783E915-C663-45C0-B490-7865A165CF08}" sourceName="[trans_venda_fact].[cor_sk]">
  <pivotTables>
    <pivotTable tabId="6" name="Tabela dinâmica3"/>
    <pivotTable tabId="6" name="Tabela dinâmica4"/>
  </pivotTables>
  <data>
    <olap pivotCacheId="829667559">
      <levels count="2">
        <level uniqueName="[trans_venda_fact].[cor_sk].[(All)]" sourceCaption="(All)" count="0"/>
        <level uniqueName="[trans_venda_fact].[cor_sk].[cor_sk]" sourceCaption="cor_sk" count="10">
          <ranges>
            <range startItem="0">
              <i n="[trans_venda_fact].[cor_sk].&amp;[1]" c="1"/>
              <i n="[trans_venda_fact].[cor_sk].&amp;[2]" c="2"/>
              <i n="[trans_venda_fact].[cor_sk].&amp;[3]" c="3"/>
              <i n="[trans_venda_fact].[cor_sk].&amp;[4]" c="4"/>
              <i n="[trans_venda_fact].[cor_sk].&amp;[5]" c="5"/>
              <i n="[trans_venda_fact].[cor_sk].&amp;[6]" c="6"/>
              <i n="[trans_venda_fact].[cor_sk].&amp;[7]" c="7"/>
              <i n="[trans_venda_fact].[cor_sk].&amp;[8]" c="8"/>
              <i n="[trans_venda_fact].[cor_sk].&amp;[9]" c="9"/>
              <i n="[trans_venda_fact].[cor_sk].&amp;[10]" c="10"/>
            </range>
          </ranges>
        </level>
      </levels>
      <selections count="1">
        <selection n="[trans_venda_fact].[cor_sk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_sk" xr10:uid="{C658B9DC-C51E-4C83-83D9-A556C8D62A7B}" sourceName="[trans_venda_fact].[cl_sk]">
  <pivotTables>
    <pivotTable tabId="6" name="Tabela dinâmica3"/>
    <pivotTable tabId="6" name="Tabela dinâmica4"/>
  </pivotTables>
  <data>
    <olap pivotCacheId="1157433648">
      <levels count="2">
        <level uniqueName="[trans_venda_fact].[cl_sk].[(All)]" sourceCaption="(All)" count="0"/>
        <level uniqueName="[trans_venda_fact].[cl_sk].[cl_sk]" sourceCaption="cl_sk" count="29">
          <ranges>
            <range startItem="0">
              <i n="[trans_venda_fact].[cl_sk].&amp;[1]" c="1"/>
              <i n="[trans_venda_fact].[cl_sk].&amp;[2]" c="2"/>
              <i n="[trans_venda_fact].[cl_sk].&amp;[3]" c="3"/>
              <i n="[trans_venda_fact].[cl_sk].&amp;[4]" c="4"/>
              <i n="[trans_venda_fact].[cl_sk].&amp;[5]" c="5"/>
              <i n="[trans_venda_fact].[cl_sk].&amp;[6]" c="6"/>
              <i n="[trans_venda_fact].[cl_sk].&amp;[7]" c="7"/>
              <i n="[trans_venda_fact].[cl_sk].&amp;[8]" c="8"/>
              <i n="[trans_venda_fact].[cl_sk].&amp;[9]" c="9"/>
              <i n="[trans_venda_fact].[cl_sk].&amp;[10]" c="10"/>
              <i n="[trans_venda_fact].[cl_sk].&amp;[11]" c="11"/>
              <i n="[trans_venda_fact].[cl_sk].&amp;[12]" c="12"/>
              <i n="[trans_venda_fact].[cl_sk].&amp;[13]" c="13"/>
              <i n="[trans_venda_fact].[cl_sk].&amp;[14]" c="14"/>
              <i n="[trans_venda_fact].[cl_sk].&amp;[15]" c="15"/>
              <i n="[trans_venda_fact].[cl_sk].&amp;[16]" c="16"/>
              <i n="[trans_venda_fact].[cl_sk].&amp;[17]" c="17"/>
              <i n="[trans_venda_fact].[cl_sk].&amp;[18]" c="18"/>
              <i n="[trans_venda_fact].[cl_sk].&amp;[19]" c="19"/>
              <i n="[trans_venda_fact].[cl_sk].&amp;[20]" c="20"/>
              <i n="[trans_venda_fact].[cl_sk].&amp;[21]" c="21"/>
              <i n="[trans_venda_fact].[cl_sk].&amp;[22]" c="22"/>
              <i n="[trans_venda_fact].[cl_sk].&amp;[23]" c="23"/>
              <i n="[trans_venda_fact].[cl_sk].&amp;[24]" c="24"/>
              <i n="[trans_venda_fact].[cl_sk].&amp;[25]" c="25"/>
              <i n="[trans_venda_fact].[cl_sk].&amp;[26]" c="26"/>
              <i n="[trans_venda_fact].[cl_sk].&amp;[28]" c="28"/>
              <i n="[trans_venda_fact].[cl_sk].&amp;[29]" c="29"/>
              <i n="[trans_venda_fact].[cl_sk].&amp;[30]" c="30"/>
            </range>
          </ranges>
        </level>
      </levels>
      <selections count="1">
        <selection n="[trans_venda_fact].[cl_sk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5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1E39B662-D40E-4A19-B442-9814E1C03353}" cache="SegmentaçãodeDados_dt_data_completa__Mês" caption="Mês" level="1" style="SlicerStyleDark2" rowHeight="257175"/>
  <slicer name="cor_sk" xr10:uid="{CE062933-E977-402B-9A92-D6F3FD68F8C3}" cache="SegmentaçãodeDados_cor_sk" caption="Corretor" startItem="2" level="1" rowHeight="257175"/>
  <slicer name="cl_sk" xr10:uid="{ADA0B09F-CBFC-4565-9FB9-676676BB5104}" cache="SegmentaçãodeDados_cl_sk" caption="Cliente" startItem="21" level="1" style="SlicerStyleOther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58487-9519-4344-9C22-97A158807DAC}" name="data_dimension" displayName="data_dimension" ref="A1:I27" tableType="queryTable" totalsRowShown="0">
  <autoFilter ref="A1:I27" xr:uid="{07058487-9519-4344-9C22-97A158807DAC}"/>
  <tableColumns count="9">
    <tableColumn id="1" xr3:uid="{7012AF29-F9A8-46C3-8E6A-F2F72FFCEB6F}" uniqueName="1" name="dt_sk" queryTableFieldId="1"/>
    <tableColumn id="2" xr3:uid="{9911F622-47E7-449D-9023-52637BF1942A}" uniqueName="2" name="dt_data_completa" queryTableFieldId="2" dataDxfId="641"/>
    <tableColumn id="3" xr3:uid="{BFF5382E-D4EA-495A-93EF-D0FEC0CE6E07}" uniqueName="3" name="dt_dia_semana" queryTableFieldId="3"/>
    <tableColumn id="4" xr3:uid="{EF3A8E89-796B-435A-846C-895152E85163}" uniqueName="4" name="dt_dia_mes" queryTableFieldId="4"/>
    <tableColumn id="5" xr3:uid="{4FE28855-31DC-495D-B784-ABDC461DE6D4}" uniqueName="5" name="dt_mes" queryTableFieldId="5"/>
    <tableColumn id="6" xr3:uid="{800ECD25-77F7-4A4A-9D11-BC938BCBEF04}" uniqueName="6" name="dt_ano" queryTableFieldId="6"/>
    <tableColumn id="7" xr3:uid="{319F2272-2892-42BF-A680-C1A7C6F0EBB8}" uniqueName="7" name="dt_trimestre" queryTableFieldId="7"/>
    <tableColumn id="8" xr3:uid="{7A542DA4-2CF1-4512-B2EE-79FEEEFAA6EA}" uniqueName="8" name="dt_data_completa (Índice de Mês)" queryTableFieldId="8"/>
    <tableColumn id="9" xr3:uid="{76C8D923-45AB-49D5-A510-F7E758269580}" uniqueName="9" name="dt_data_completa (Mês)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6EB21A-BA03-43EB-9E92-6CC0ED66FCCD}" name="corretor_dimension" displayName="corretor_dimension" ref="A1:H11" totalsRowShown="0">
  <autoFilter ref="A1:H11" xr:uid="{EF6EB21A-BA03-43EB-9E92-6CC0ED66FCCD}"/>
  <tableColumns count="8">
    <tableColumn id="1" xr3:uid="{AA7EA59C-4EBA-4EE5-90EF-AFE71095F472}" name="cor_sk"/>
    <tableColumn id="2" xr3:uid="{9365DC7F-3C5B-4D09-A783-AD114F611D31}" name="cor_cpf"/>
    <tableColumn id="3" xr3:uid="{01F194D5-0852-4846-9463-5F9E49230C60}" name="cor_registro" dataDxfId="665"/>
    <tableColumn id="4" xr3:uid="{0622E988-9096-4BF1-B02D-9AA39FF35D0B}" name="cor_nome" dataDxfId="664"/>
    <tableColumn id="5" xr3:uid="{3D383502-B618-440A-8862-18F281BF9992}" name="cor_sobrenome" dataDxfId="663"/>
    <tableColumn id="6" xr3:uid="{746B7F71-BA79-4F41-9D9D-C727F3F03DC3}" name="cor_dt_inicio" dataDxfId="662"/>
    <tableColumn id="7" xr3:uid="{BEA691B6-2F30-4453-AFA8-858987C127AC}" name="cor_dt_fim" dataDxfId="661"/>
    <tableColumn id="8" xr3:uid="{806D8326-1744-45E5-BEA3-BB60D6909015}" name="cor_is_atual" dataDxfId="66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5095F2-D093-4138-90DD-F2D1EA63B3B9}" name="trans_venda_fact" displayName="trans_venda_fact" ref="A1:M77" tableType="queryTable" totalsRowShown="0">
  <autoFilter ref="A1:M77" xr:uid="{895095F2-D093-4138-90DD-F2D1EA63B3B9}"/>
  <tableColumns count="13">
    <tableColumn id="1" xr3:uid="{F0FBE8DF-F5D3-481F-82E8-C84F227283E1}" uniqueName="1" name="tv_sk" queryTableFieldId="1"/>
    <tableColumn id="2" xr3:uid="{1BDF81DD-5D7D-4D7D-9F98-2B2083F96C91}" uniqueName="2" name="tv_id" queryTableFieldId="2"/>
    <tableColumn id="3" xr3:uid="{44B60D87-8FD9-4269-A211-3FDF971F3AB6}" uniqueName="3" name="tv_valor" queryTableFieldId="3"/>
    <tableColumn id="4" xr3:uid="{52F151A4-8439-4319-AADA-77D77CF7B56B}" uniqueName="4" name="tv_valor_cliente" queryTableFieldId="4"/>
    <tableColumn id="5" xr3:uid="{E15B3AE3-6782-43DC-B8A5-1E24326D4113}" uniqueName="5" name="tv_comissao" queryTableFieldId="5"/>
    <tableColumn id="6" xr3:uid="{9EB75888-076D-4569-B1A5-7C8EBD0D62A4}" uniqueName="6" name="tv_comissao_cliente" queryTableFieldId="6"/>
    <tableColumn id="7" xr3:uid="{D047F2E6-CB6A-4B57-AF2E-89C1A471DB0E}" uniqueName="7" name="tv_tipo_cliente" queryTableFieldId="7" dataDxfId="640"/>
    <tableColumn id="8" xr3:uid="{8B6037B6-36CB-4D2D-B208-AB16EC7B3274}" uniqueName="8" name="tv_total_compradores" queryTableFieldId="8"/>
    <tableColumn id="9" xr3:uid="{DD61A0D9-8697-4EAD-9147-3F332EC6D81A}" uniqueName="9" name="tv_total_vendedores" queryTableFieldId="9"/>
    <tableColumn id="10" xr3:uid="{0B18FABC-1319-45F1-AA90-E097C54CC607}" uniqueName="10" name="cor_sk" queryTableFieldId="10"/>
    <tableColumn id="11" xr3:uid="{AB5A0077-6ECD-4BC0-9716-3B2D93BEB7AC}" uniqueName="11" name="im_sk" queryTableFieldId="11"/>
    <tableColumn id="12" xr3:uid="{5FBE6CED-B3F9-495D-9663-81F8FB2275E6}" uniqueName="12" name="cl_sk" queryTableFieldId="12"/>
    <tableColumn id="13" xr3:uid="{21AC73D4-D0F0-4547-82F3-9C7B85AF060F}" uniqueName="13" name="dt_sk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721BE9-7E38-42A1-BA98-CB918DE85C47}" name="cliente_dimension" displayName="cliente_dimension" ref="A1:G31" totalsRowShown="0">
  <autoFilter ref="A1:G31" xr:uid="{82721BE9-7E38-42A1-BA98-CB918DE85C47}"/>
  <tableColumns count="7">
    <tableColumn id="1" xr3:uid="{1492516E-6E0D-449D-9227-60AA04226088}" name="cl_sk"/>
    <tableColumn id="2" xr3:uid="{099DE7CE-B1D0-45E8-A994-547E8B9E04A1}" name="cl_cpf"/>
    <tableColumn id="3" xr3:uid="{46E7FE3F-F4FB-4673-B12E-803EB65ED236}" name="cl_nome" dataDxfId="670"/>
    <tableColumn id="4" xr3:uid="{89158AB3-799E-4402-BBAB-4CFB38240BA9}" name="cl_sobrenome" dataDxfId="669"/>
    <tableColumn id="5" xr3:uid="{4ACFE3A8-E567-47DB-B98E-649E9038BA6B}" name="cl_dt_inicio" dataDxfId="668"/>
    <tableColumn id="6" xr3:uid="{4ED214BE-236D-4AEE-AC6F-1BD75800EA3C}" name="cl_dt_fim" dataDxfId="667"/>
    <tableColumn id="7" xr3:uid="{EDAB4F1E-9523-4B6C-AFF8-04D6B3E2A1D5}" name="cl_is_atual" dataDxfId="66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7ACED4-386C-4586-9F09-BCEFD60BBAF7}" name="corretor_dimension__2" displayName="corretor_dimension__2" ref="A1:H11" tableType="queryTable" totalsRowShown="0">
  <autoFilter ref="A1:H11" xr:uid="{B17ACED4-386C-4586-9F09-BCEFD60BBAF7}"/>
  <tableColumns count="8">
    <tableColumn id="1" xr3:uid="{AD69BF48-D6CE-4D59-914C-E1073EAEFF33}" uniqueName="1" name="cor_sk" queryTableFieldId="1"/>
    <tableColumn id="2" xr3:uid="{625D30D0-411A-48FB-9091-4C5D1EBEBC2E}" uniqueName="2" name="cor_cpf" queryTableFieldId="2"/>
    <tableColumn id="3" xr3:uid="{F21EC48E-5DA0-4056-8577-7EED06E4337A}" uniqueName="3" name="cor_registro" queryTableFieldId="3" dataDxfId="659"/>
    <tableColumn id="4" xr3:uid="{19968E43-3795-4BF5-860A-EBD4D3D92B14}" uniqueName="4" name="cor_nome" queryTableFieldId="4" dataDxfId="658"/>
    <tableColumn id="5" xr3:uid="{256DBBB0-A116-42AD-8F46-4389AA043A33}" uniqueName="5" name="cor_sobrenome" queryTableFieldId="5" dataDxfId="657"/>
    <tableColumn id="6" xr3:uid="{AAAB54F1-D825-4C64-AAB2-EC40EB5670C7}" uniqueName="6" name="cor_dt_inicio" queryTableFieldId="6" dataDxfId="656"/>
    <tableColumn id="7" xr3:uid="{0BF4B872-EB90-4711-82F6-34A64B03937D}" uniqueName="7" name="cor_dt_fim" queryTableFieldId="7" dataDxfId="655"/>
    <tableColumn id="8" xr3:uid="{38C84305-E95F-4BF1-82BE-95BA39D789C5}" uniqueName="8" name="cor_is_atual" queryTableFieldId="8" dataDxfId="65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E1482F-5179-4DC3-9444-BB9CDB57F674}" name="imovel_dimension" displayName="imovel_dimension" ref="A1:K31" tableType="queryTable" totalsRowShown="0">
  <autoFilter ref="A1:K31" xr:uid="{8FE1482F-5179-4DC3-9444-BB9CDB57F674}"/>
  <tableColumns count="11">
    <tableColumn id="1" xr3:uid="{731E6A56-C0E3-47C7-95C7-E4B0D41DA1B4}" uniqueName="1" name="im_sk" queryTableFieldId="1"/>
    <tableColumn id="2" xr3:uid="{16760268-2D72-43BA-8BCD-D85423DF35A8}" uniqueName="2" name="im_id" queryTableFieldId="2"/>
    <tableColumn id="3" xr3:uid="{AEF8D607-6768-46F4-A975-8FBC23DCE98C}" uniqueName="3" name="im_logradouro" queryTableFieldId="3" dataDxfId="653"/>
    <tableColumn id="4" xr3:uid="{B72A3D74-7B0C-49CD-B468-F8A115285132}" uniqueName="4" name="im_bairro" queryTableFieldId="4" dataDxfId="652"/>
    <tableColumn id="5" xr3:uid="{35013438-3FFB-4FFD-8B84-E67087497099}" uniqueName="5" name="im_cidade" queryTableFieldId="5" dataDxfId="651"/>
    <tableColumn id="6" xr3:uid="{922C6B44-6B83-4126-A685-632C9F66E6A0}" uniqueName="6" name="im_estado" queryTableFieldId="6" dataDxfId="650"/>
    <tableColumn id="7" xr3:uid="{E6BE44E4-0650-4324-80A4-97AAC0F9EFB7}" uniqueName="7" name="im_num_anuncios" queryTableFieldId="7"/>
    <tableColumn id="8" xr3:uid="{D2788EE5-4E0E-4323-9185-877D7438FA23}" uniqueName="8" name="im_gasto_em_anuncios" queryTableFieldId="8"/>
    <tableColumn id="9" xr3:uid="{9FE20E20-C655-421D-A4E3-11456869280A}" uniqueName="9" name="im_dt_inicio" queryTableFieldId="9" dataDxfId="649"/>
    <tableColumn id="10" xr3:uid="{9A4B514E-6D06-40EC-B936-EAD7E689FA2E}" uniqueName="10" name="im_dt_fim" queryTableFieldId="10" dataDxfId="648"/>
    <tableColumn id="11" xr3:uid="{B853CA21-F2BB-4A4C-886F-4DD81156CBD4}" uniqueName="11" name="im_is_atual" queryTableFieldId="11" dataDxfId="64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791893-361A-468C-8566-A5A707995A34}" name="receita_agregada_fact" displayName="receita_agregada_fact" ref="A1:D29" tableType="queryTable" totalsRowShown="0">
  <autoFilter ref="A1:D29" xr:uid="{8B791893-361A-468C-8566-A5A707995A34}"/>
  <tableColumns count="4">
    <tableColumn id="1" xr3:uid="{4B42E92B-DC09-4B58-8FEB-B56E888CC193}" uniqueName="1" name="ra_sk" queryTableFieldId="1"/>
    <tableColumn id="2" xr3:uid="{0CF2FAFE-4F2F-425C-BDA0-2C04C496FDB9}" uniqueName="2" name="ra_comissao_total" queryTableFieldId="2"/>
    <tableColumn id="3" xr3:uid="{4746F482-C42C-43C2-A785-F9F40539DD1D}" uniqueName="3" name="im_sk" queryTableFieldId="3"/>
    <tableColumn id="4" xr3:uid="{BA4F2B64-2795-4974-BCB6-7294E245D822}" uniqueName="4" name="dt_sk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AFFC10-E1FF-4145-B785-22469A4A0F57}" name="cliente_dimension_2" displayName="cliente_dimension_2" ref="A1:G31" tableType="queryTable" totalsRowShown="0">
  <autoFilter ref="A1:G31" xr:uid="{07AFFC10-E1FF-4145-B785-22469A4A0F57}"/>
  <tableColumns count="7">
    <tableColumn id="1" xr3:uid="{9D3B608B-29CD-4E9C-9368-E440B34BD1C4}" uniqueName="1" name="cl_sk" queryTableFieldId="1"/>
    <tableColumn id="2" xr3:uid="{3EE9EA7D-8238-4D17-97B4-0EB19454BE46}" uniqueName="2" name="cl_cpf" queryTableFieldId="2"/>
    <tableColumn id="3" xr3:uid="{95774F5C-F77B-4A6B-9AF9-80BE95D3988D}" uniqueName="3" name="cl_nome" queryTableFieldId="3" dataDxfId="646"/>
    <tableColumn id="4" xr3:uid="{97E6B7F9-615A-4E20-96E9-4F0358866507}" uniqueName="4" name="cl_sobrenome" queryTableFieldId="4" dataDxfId="645"/>
    <tableColumn id="5" xr3:uid="{138F2FD4-9CB3-4BEB-99E2-8DC17A4F2B38}" uniqueName="5" name="cl_dt_inicio" queryTableFieldId="5" dataDxfId="644"/>
    <tableColumn id="6" xr3:uid="{EBA6732F-D0E9-441E-802F-1F2FDCD72F06}" uniqueName="6" name="cl_dt_fim" queryTableFieldId="6" dataDxfId="643"/>
    <tableColumn id="7" xr3:uid="{ACB76C3D-41F4-4E66-98D9-42F03F244559}" uniqueName="7" name="cl_is_atual" queryTableFieldId="7" dataDxfId="6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C4C9-6AC1-4B56-8869-EBA0978F3B54}">
  <dimension ref="A1:AE45"/>
  <sheetViews>
    <sheetView tabSelected="1" topLeftCell="A10" workbookViewId="0">
      <selection activeCell="E24" sqref="E24"/>
    </sheetView>
  </sheetViews>
  <sheetFormatPr defaultRowHeight="15" x14ac:dyDescent="0.25"/>
  <cols>
    <col min="1" max="4" width="9.140625" style="1"/>
    <col min="5" max="5" width="19.42578125" style="1" bestFit="1" customWidth="1"/>
    <col min="6" max="6" width="13.5703125" style="1" bestFit="1" customWidth="1"/>
    <col min="7" max="10" width="9.140625" style="1"/>
    <col min="11" max="11" width="17.5703125" style="1" customWidth="1"/>
    <col min="12" max="31" width="9.140625" style="1"/>
  </cols>
  <sheetData>
    <row r="1" spans="5:11" ht="36" x14ac:dyDescent="0.55000000000000004">
      <c r="E1" s="2" t="s">
        <v>186</v>
      </c>
      <c r="F1" s="2"/>
      <c r="G1" s="2"/>
      <c r="H1" s="2"/>
      <c r="I1" s="2"/>
      <c r="J1" s="2"/>
      <c r="K1" s="3"/>
    </row>
    <row r="19" spans="5:11" ht="36" x14ac:dyDescent="0.55000000000000004">
      <c r="E19" s="2" t="s">
        <v>0</v>
      </c>
      <c r="F19" s="2"/>
      <c r="G19" s="2"/>
      <c r="H19" s="2"/>
      <c r="I19" s="2"/>
      <c r="J19" s="2"/>
      <c r="K19" s="3"/>
    </row>
    <row r="21" spans="5:11" x14ac:dyDescent="0.25">
      <c r="E21" s="1" t="s">
        <v>185</v>
      </c>
    </row>
    <row r="22" spans="5:11" x14ac:dyDescent="0.25">
      <c r="E22" s="7">
        <v>64362616.07</v>
      </c>
    </row>
    <row r="24" spans="5:11" x14ac:dyDescent="0.25">
      <c r="E24" s="3"/>
    </row>
    <row r="36" spans="5:11" ht="36" x14ac:dyDescent="0.55000000000000004">
      <c r="E36" s="2" t="s">
        <v>187</v>
      </c>
    </row>
    <row r="39" spans="5:11" x14ac:dyDescent="0.25">
      <c r="K39" s="1" t="s">
        <v>188</v>
      </c>
    </row>
    <row r="40" spans="5:11" x14ac:dyDescent="0.25">
      <c r="K40" s="7">
        <v>64362616.07</v>
      </c>
    </row>
    <row r="44" spans="5:11" x14ac:dyDescent="0.25">
      <c r="K44" s="1" t="s">
        <v>189</v>
      </c>
    </row>
    <row r="45" spans="5:11" x14ac:dyDescent="0.25">
      <c r="K45" s="7">
        <v>1460698.06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B0AB-076A-4E25-AC88-DE452DC994ED}">
  <dimension ref="A1:I27"/>
  <sheetViews>
    <sheetView workbookViewId="0">
      <selection sqref="A1:G27"/>
    </sheetView>
  </sheetViews>
  <sheetFormatPr defaultRowHeight="15" x14ac:dyDescent="0.25"/>
  <cols>
    <col min="1" max="1" width="9" bestFit="1" customWidth="1"/>
    <col min="2" max="2" width="19.28515625" bestFit="1" customWidth="1"/>
    <col min="3" max="3" width="16.7109375" bestFit="1" customWidth="1"/>
    <col min="4" max="4" width="13.42578125" bestFit="1" customWidth="1"/>
    <col min="5" max="5" width="9.85546875" bestFit="1" customWidth="1"/>
    <col min="6" max="6" width="9.28515625" bestFit="1" customWidth="1"/>
    <col min="7" max="7" width="14.42578125" bestFit="1" customWidth="1"/>
    <col min="8" max="8" width="34.140625" bestFit="1" customWidth="1"/>
    <col min="9" max="9" width="25.140625" bestFit="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177</v>
      </c>
      <c r="I1" t="s">
        <v>178</v>
      </c>
    </row>
    <row r="2" spans="1:9" x14ac:dyDescent="0.25">
      <c r="A2">
        <v>20250615</v>
      </c>
      <c r="B2" s="4">
        <v>45823</v>
      </c>
      <c r="C2">
        <v>0</v>
      </c>
      <c r="D2">
        <v>15</v>
      </c>
      <c r="E2">
        <v>6</v>
      </c>
      <c r="F2">
        <v>2025</v>
      </c>
      <c r="G2">
        <v>2</v>
      </c>
      <c r="H2">
        <v>6</v>
      </c>
      <c r="I2" t="s">
        <v>179</v>
      </c>
    </row>
    <row r="3" spans="1:9" x14ac:dyDescent="0.25">
      <c r="A3">
        <v>20250505</v>
      </c>
      <c r="B3" s="4">
        <v>45782</v>
      </c>
      <c r="C3">
        <v>1</v>
      </c>
      <c r="D3">
        <v>5</v>
      </c>
      <c r="E3">
        <v>5</v>
      </c>
      <c r="F3">
        <v>2025</v>
      </c>
      <c r="G3">
        <v>2</v>
      </c>
      <c r="H3">
        <v>5</v>
      </c>
      <c r="I3" t="s">
        <v>180</v>
      </c>
    </row>
    <row r="4" spans="1:9" x14ac:dyDescent="0.25">
      <c r="A4">
        <v>20250501</v>
      </c>
      <c r="B4" s="4">
        <v>45778</v>
      </c>
      <c r="C4">
        <v>4</v>
      </c>
      <c r="D4">
        <v>1</v>
      </c>
      <c r="E4">
        <v>5</v>
      </c>
      <c r="F4">
        <v>2025</v>
      </c>
      <c r="G4">
        <v>2</v>
      </c>
      <c r="H4">
        <v>5</v>
      </c>
      <c r="I4" t="s">
        <v>180</v>
      </c>
    </row>
    <row r="5" spans="1:9" x14ac:dyDescent="0.25">
      <c r="A5">
        <v>20250510</v>
      </c>
      <c r="B5" s="4">
        <v>45787</v>
      </c>
      <c r="C5">
        <v>6</v>
      </c>
      <c r="D5">
        <v>10</v>
      </c>
      <c r="E5">
        <v>5</v>
      </c>
      <c r="F5">
        <v>2025</v>
      </c>
      <c r="G5">
        <v>2</v>
      </c>
      <c r="H5">
        <v>5</v>
      </c>
      <c r="I5" t="s">
        <v>180</v>
      </c>
    </row>
    <row r="6" spans="1:9" x14ac:dyDescent="0.25">
      <c r="A6">
        <v>20250715</v>
      </c>
      <c r="B6" s="4">
        <v>45853</v>
      </c>
      <c r="C6">
        <v>2</v>
      </c>
      <c r="D6">
        <v>15</v>
      </c>
      <c r="E6">
        <v>7</v>
      </c>
      <c r="F6">
        <v>2025</v>
      </c>
      <c r="G6">
        <v>3</v>
      </c>
      <c r="H6">
        <v>7</v>
      </c>
      <c r="I6" t="s">
        <v>181</v>
      </c>
    </row>
    <row r="7" spans="1:9" x14ac:dyDescent="0.25">
      <c r="A7">
        <v>20250525</v>
      </c>
      <c r="B7" s="4">
        <v>45802</v>
      </c>
      <c r="C7">
        <v>0</v>
      </c>
      <c r="D7">
        <v>25</v>
      </c>
      <c r="E7">
        <v>5</v>
      </c>
      <c r="F7">
        <v>2025</v>
      </c>
      <c r="G7">
        <v>2</v>
      </c>
      <c r="H7">
        <v>5</v>
      </c>
      <c r="I7" t="s">
        <v>180</v>
      </c>
    </row>
    <row r="8" spans="1:9" x14ac:dyDescent="0.25">
      <c r="A8">
        <v>20250605</v>
      </c>
      <c r="B8" s="4">
        <v>45813</v>
      </c>
      <c r="C8">
        <v>4</v>
      </c>
      <c r="D8">
        <v>5</v>
      </c>
      <c r="E8">
        <v>6</v>
      </c>
      <c r="F8">
        <v>2025</v>
      </c>
      <c r="G8">
        <v>2</v>
      </c>
      <c r="H8">
        <v>6</v>
      </c>
      <c r="I8" t="s">
        <v>179</v>
      </c>
    </row>
    <row r="9" spans="1:9" x14ac:dyDescent="0.25">
      <c r="A9">
        <v>20250410</v>
      </c>
      <c r="B9" s="4">
        <v>45757</v>
      </c>
      <c r="C9">
        <v>4</v>
      </c>
      <c r="D9">
        <v>10</v>
      </c>
      <c r="E9">
        <v>4</v>
      </c>
      <c r="F9">
        <v>2025</v>
      </c>
      <c r="G9">
        <v>2</v>
      </c>
      <c r="H9">
        <v>4</v>
      </c>
      <c r="I9" t="s">
        <v>182</v>
      </c>
    </row>
    <row r="10" spans="1:9" x14ac:dyDescent="0.25">
      <c r="A10">
        <v>20250830</v>
      </c>
      <c r="B10" s="4">
        <v>45899</v>
      </c>
      <c r="C10">
        <v>6</v>
      </c>
      <c r="D10">
        <v>30</v>
      </c>
      <c r="E10">
        <v>8</v>
      </c>
      <c r="F10">
        <v>2025</v>
      </c>
      <c r="G10">
        <v>3</v>
      </c>
      <c r="H10">
        <v>8</v>
      </c>
      <c r="I10" t="s">
        <v>183</v>
      </c>
    </row>
    <row r="11" spans="1:9" x14ac:dyDescent="0.25">
      <c r="A11">
        <v>20250325</v>
      </c>
      <c r="B11" s="4">
        <v>45741</v>
      </c>
      <c r="C11">
        <v>2</v>
      </c>
      <c r="D11">
        <v>25</v>
      </c>
      <c r="E11">
        <v>3</v>
      </c>
      <c r="F11">
        <v>2025</v>
      </c>
      <c r="G11">
        <v>1</v>
      </c>
      <c r="H11">
        <v>3</v>
      </c>
      <c r="I11" t="s">
        <v>184</v>
      </c>
    </row>
    <row r="12" spans="1:9" x14ac:dyDescent="0.25">
      <c r="A12">
        <v>20250425</v>
      </c>
      <c r="B12" s="4">
        <v>45772</v>
      </c>
      <c r="C12">
        <v>5</v>
      </c>
      <c r="D12">
        <v>25</v>
      </c>
      <c r="E12">
        <v>4</v>
      </c>
      <c r="F12">
        <v>2025</v>
      </c>
      <c r="G12">
        <v>2</v>
      </c>
      <c r="H12">
        <v>4</v>
      </c>
      <c r="I12" t="s">
        <v>182</v>
      </c>
    </row>
    <row r="13" spans="1:9" x14ac:dyDescent="0.25">
      <c r="A13">
        <v>20250601</v>
      </c>
      <c r="B13" s="4">
        <v>45809</v>
      </c>
      <c r="C13">
        <v>0</v>
      </c>
      <c r="D13">
        <v>1</v>
      </c>
      <c r="E13">
        <v>6</v>
      </c>
      <c r="F13">
        <v>2025</v>
      </c>
      <c r="G13">
        <v>2</v>
      </c>
      <c r="H13">
        <v>6</v>
      </c>
      <c r="I13" t="s">
        <v>179</v>
      </c>
    </row>
    <row r="14" spans="1:9" x14ac:dyDescent="0.25">
      <c r="A14">
        <v>20250315</v>
      </c>
      <c r="B14" s="4">
        <v>45731</v>
      </c>
      <c r="C14">
        <v>6</v>
      </c>
      <c r="D14">
        <v>15</v>
      </c>
      <c r="E14">
        <v>3</v>
      </c>
      <c r="F14">
        <v>2025</v>
      </c>
      <c r="G14">
        <v>1</v>
      </c>
      <c r="H14">
        <v>3</v>
      </c>
      <c r="I14" t="s">
        <v>184</v>
      </c>
    </row>
    <row r="15" spans="1:9" x14ac:dyDescent="0.25">
      <c r="A15">
        <v>20250620</v>
      </c>
      <c r="B15" s="4">
        <v>45828</v>
      </c>
      <c r="C15">
        <v>5</v>
      </c>
      <c r="D15">
        <v>20</v>
      </c>
      <c r="E15">
        <v>6</v>
      </c>
      <c r="F15">
        <v>2025</v>
      </c>
      <c r="G15">
        <v>2</v>
      </c>
      <c r="H15">
        <v>6</v>
      </c>
      <c r="I15" t="s">
        <v>179</v>
      </c>
    </row>
    <row r="16" spans="1:9" x14ac:dyDescent="0.25">
      <c r="A16">
        <v>20250420</v>
      </c>
      <c r="B16" s="4">
        <v>45767</v>
      </c>
      <c r="C16">
        <v>0</v>
      </c>
      <c r="D16">
        <v>20</v>
      </c>
      <c r="E16">
        <v>4</v>
      </c>
      <c r="F16">
        <v>2025</v>
      </c>
      <c r="G16">
        <v>2</v>
      </c>
      <c r="H16">
        <v>4</v>
      </c>
      <c r="I16" t="s">
        <v>182</v>
      </c>
    </row>
    <row r="17" spans="1:9" x14ac:dyDescent="0.25">
      <c r="A17">
        <v>20250310</v>
      </c>
      <c r="B17" s="4">
        <v>45726</v>
      </c>
      <c r="C17">
        <v>1</v>
      </c>
      <c r="D17">
        <v>10</v>
      </c>
      <c r="E17">
        <v>3</v>
      </c>
      <c r="F17">
        <v>2025</v>
      </c>
      <c r="G17">
        <v>1</v>
      </c>
      <c r="H17">
        <v>3</v>
      </c>
      <c r="I17" t="s">
        <v>184</v>
      </c>
    </row>
    <row r="18" spans="1:9" x14ac:dyDescent="0.25">
      <c r="A18">
        <v>20250405</v>
      </c>
      <c r="B18" s="4">
        <v>45752</v>
      </c>
      <c r="C18">
        <v>6</v>
      </c>
      <c r="D18">
        <v>5</v>
      </c>
      <c r="E18">
        <v>4</v>
      </c>
      <c r="F18">
        <v>2025</v>
      </c>
      <c r="G18">
        <v>2</v>
      </c>
      <c r="H18">
        <v>4</v>
      </c>
      <c r="I18" t="s">
        <v>182</v>
      </c>
    </row>
    <row r="19" spans="1:9" x14ac:dyDescent="0.25">
      <c r="A19">
        <v>20250515</v>
      </c>
      <c r="B19" s="4">
        <v>45792</v>
      </c>
      <c r="C19">
        <v>4</v>
      </c>
      <c r="D19">
        <v>15</v>
      </c>
      <c r="E19">
        <v>5</v>
      </c>
      <c r="F19">
        <v>2025</v>
      </c>
      <c r="G19">
        <v>2</v>
      </c>
      <c r="H19">
        <v>5</v>
      </c>
      <c r="I19" t="s">
        <v>180</v>
      </c>
    </row>
    <row r="20" spans="1:9" x14ac:dyDescent="0.25">
      <c r="A20">
        <v>20250401</v>
      </c>
      <c r="B20" s="4">
        <v>45748</v>
      </c>
      <c r="C20">
        <v>2</v>
      </c>
      <c r="D20">
        <v>1</v>
      </c>
      <c r="E20">
        <v>4</v>
      </c>
      <c r="F20">
        <v>2025</v>
      </c>
      <c r="G20">
        <v>2</v>
      </c>
      <c r="H20">
        <v>4</v>
      </c>
      <c r="I20" t="s">
        <v>182</v>
      </c>
    </row>
    <row r="21" spans="1:9" x14ac:dyDescent="0.25">
      <c r="A21">
        <v>20250610</v>
      </c>
      <c r="B21" s="4">
        <v>45818</v>
      </c>
      <c r="C21">
        <v>2</v>
      </c>
      <c r="D21">
        <v>10</v>
      </c>
      <c r="E21">
        <v>6</v>
      </c>
      <c r="F21">
        <v>2025</v>
      </c>
      <c r="G21">
        <v>2</v>
      </c>
      <c r="H21">
        <v>6</v>
      </c>
      <c r="I21" t="s">
        <v>179</v>
      </c>
    </row>
    <row r="22" spans="1:9" x14ac:dyDescent="0.25">
      <c r="A22">
        <v>20250305</v>
      </c>
      <c r="B22" s="4">
        <v>45721</v>
      </c>
      <c r="C22">
        <v>3</v>
      </c>
      <c r="D22">
        <v>5</v>
      </c>
      <c r="E22">
        <v>3</v>
      </c>
      <c r="F22">
        <v>2025</v>
      </c>
      <c r="G22">
        <v>1</v>
      </c>
      <c r="H22">
        <v>3</v>
      </c>
      <c r="I22" t="s">
        <v>184</v>
      </c>
    </row>
    <row r="23" spans="1:9" x14ac:dyDescent="0.25">
      <c r="A23">
        <v>20250625</v>
      </c>
      <c r="B23" s="4">
        <v>45833</v>
      </c>
      <c r="C23">
        <v>3</v>
      </c>
      <c r="D23">
        <v>25</v>
      </c>
      <c r="E23">
        <v>6</v>
      </c>
      <c r="F23">
        <v>2025</v>
      </c>
      <c r="G23">
        <v>2</v>
      </c>
      <c r="H23">
        <v>6</v>
      </c>
      <c r="I23" t="s">
        <v>179</v>
      </c>
    </row>
    <row r="24" spans="1:9" x14ac:dyDescent="0.25">
      <c r="A24">
        <v>20250301</v>
      </c>
      <c r="B24" s="4">
        <v>45717</v>
      </c>
      <c r="C24">
        <v>6</v>
      </c>
      <c r="D24">
        <v>1</v>
      </c>
      <c r="E24">
        <v>3</v>
      </c>
      <c r="F24">
        <v>2025</v>
      </c>
      <c r="G24">
        <v>1</v>
      </c>
      <c r="H24">
        <v>3</v>
      </c>
      <c r="I24" t="s">
        <v>184</v>
      </c>
    </row>
    <row r="25" spans="1:9" x14ac:dyDescent="0.25">
      <c r="A25">
        <v>20250520</v>
      </c>
      <c r="B25" s="4">
        <v>45797</v>
      </c>
      <c r="C25">
        <v>2</v>
      </c>
      <c r="D25">
        <v>20</v>
      </c>
      <c r="E25">
        <v>5</v>
      </c>
      <c r="F25">
        <v>2025</v>
      </c>
      <c r="G25">
        <v>2</v>
      </c>
      <c r="H25">
        <v>5</v>
      </c>
      <c r="I25" t="s">
        <v>180</v>
      </c>
    </row>
    <row r="26" spans="1:9" x14ac:dyDescent="0.25">
      <c r="A26">
        <v>20250415</v>
      </c>
      <c r="B26" s="4">
        <v>45762</v>
      </c>
      <c r="C26">
        <v>2</v>
      </c>
      <c r="D26">
        <v>15</v>
      </c>
      <c r="E26">
        <v>4</v>
      </c>
      <c r="F26">
        <v>2025</v>
      </c>
      <c r="G26">
        <v>2</v>
      </c>
      <c r="H26">
        <v>4</v>
      </c>
      <c r="I26" t="s">
        <v>182</v>
      </c>
    </row>
    <row r="27" spans="1:9" x14ac:dyDescent="0.25">
      <c r="A27">
        <v>20250320</v>
      </c>
      <c r="B27" s="4">
        <v>45736</v>
      </c>
      <c r="C27">
        <v>4</v>
      </c>
      <c r="D27">
        <v>20</v>
      </c>
      <c r="E27">
        <v>3</v>
      </c>
      <c r="F27">
        <v>2025</v>
      </c>
      <c r="G27">
        <v>1</v>
      </c>
      <c r="H27">
        <v>3</v>
      </c>
      <c r="I27" t="s">
        <v>184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B9AF-DE79-4DD6-B0CE-4CA75CE2F0C6}">
  <dimension ref="A1:H11"/>
  <sheetViews>
    <sheetView workbookViewId="0">
      <selection sqref="A1:H11"/>
    </sheetView>
  </sheetViews>
  <sheetFormatPr defaultRowHeight="15" x14ac:dyDescent="0.25"/>
  <cols>
    <col min="1" max="1" width="9" bestFit="1" customWidth="1"/>
    <col min="2" max="2" width="12" bestFit="1" customWidth="1"/>
    <col min="3" max="3" width="15.42578125" bestFit="1" customWidth="1"/>
    <col min="4" max="4" width="12.140625" bestFit="1" customWidth="1"/>
    <col min="5" max="5" width="17.42578125" bestFit="1" customWidth="1"/>
    <col min="6" max="6" width="15.5703125" bestFit="1" customWidth="1"/>
    <col min="7" max="7" width="12.7109375" bestFit="1" customWidth="1"/>
    <col min="8" max="8" width="13.85546875" bestFit="1" customWidth="1"/>
  </cols>
  <sheetData>
    <row r="1" spans="1:8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</row>
    <row r="2" spans="1:8" x14ac:dyDescent="0.25">
      <c r="A2">
        <v>1</v>
      </c>
      <c r="B2">
        <v>11111111111</v>
      </c>
      <c r="C2" s="5" t="s">
        <v>85</v>
      </c>
      <c r="D2" s="5" t="s">
        <v>86</v>
      </c>
      <c r="E2" s="5" t="s">
        <v>87</v>
      </c>
      <c r="F2" s="6">
        <v>46279.542147569446</v>
      </c>
      <c r="G2" s="5" t="s">
        <v>17</v>
      </c>
      <c r="H2" s="5" t="s">
        <v>18</v>
      </c>
    </row>
    <row r="3" spans="1:8" x14ac:dyDescent="0.25">
      <c r="A3">
        <v>2</v>
      </c>
      <c r="B3">
        <v>11111111112</v>
      </c>
      <c r="C3" s="5" t="s">
        <v>88</v>
      </c>
      <c r="D3" s="5" t="s">
        <v>89</v>
      </c>
      <c r="E3" s="5" t="s">
        <v>90</v>
      </c>
      <c r="F3" s="6">
        <v>46279.542147569446</v>
      </c>
      <c r="G3" s="5" t="s">
        <v>17</v>
      </c>
      <c r="H3" s="5" t="s">
        <v>18</v>
      </c>
    </row>
    <row r="4" spans="1:8" x14ac:dyDescent="0.25">
      <c r="A4">
        <v>3</v>
      </c>
      <c r="B4">
        <v>11111111113</v>
      </c>
      <c r="C4" s="5" t="s">
        <v>91</v>
      </c>
      <c r="D4" s="5" t="s">
        <v>92</v>
      </c>
      <c r="E4" s="5" t="s">
        <v>93</v>
      </c>
      <c r="F4" s="6">
        <v>46279.542147569446</v>
      </c>
      <c r="G4" s="5" t="s">
        <v>17</v>
      </c>
      <c r="H4" s="5" t="s">
        <v>18</v>
      </c>
    </row>
    <row r="5" spans="1:8" x14ac:dyDescent="0.25">
      <c r="A5">
        <v>4</v>
      </c>
      <c r="B5">
        <v>11111111114</v>
      </c>
      <c r="C5" s="5" t="s">
        <v>94</v>
      </c>
      <c r="D5" s="5" t="s">
        <v>95</v>
      </c>
      <c r="E5" s="5" t="s">
        <v>24</v>
      </c>
      <c r="F5" s="6">
        <v>46279.542147569446</v>
      </c>
      <c r="G5" s="5" t="s">
        <v>17</v>
      </c>
      <c r="H5" s="5" t="s">
        <v>18</v>
      </c>
    </row>
    <row r="6" spans="1:8" x14ac:dyDescent="0.25">
      <c r="A6">
        <v>5</v>
      </c>
      <c r="B6">
        <v>11111111115</v>
      </c>
      <c r="C6" s="5" t="s">
        <v>96</v>
      </c>
      <c r="D6" s="5" t="s">
        <v>97</v>
      </c>
      <c r="E6" s="5" t="s">
        <v>98</v>
      </c>
      <c r="F6" s="6">
        <v>46279.542147569446</v>
      </c>
      <c r="G6" s="5" t="s">
        <v>17</v>
      </c>
      <c r="H6" s="5" t="s">
        <v>18</v>
      </c>
    </row>
    <row r="7" spans="1:8" x14ac:dyDescent="0.25">
      <c r="A7">
        <v>6</v>
      </c>
      <c r="B7">
        <v>11111111116</v>
      </c>
      <c r="C7" s="5" t="s">
        <v>99</v>
      </c>
      <c r="D7" s="5" t="s">
        <v>100</v>
      </c>
      <c r="E7" s="5" t="s">
        <v>101</v>
      </c>
      <c r="F7" s="6">
        <v>46279.542147569446</v>
      </c>
      <c r="G7" s="5" t="s">
        <v>17</v>
      </c>
      <c r="H7" s="5" t="s">
        <v>18</v>
      </c>
    </row>
    <row r="8" spans="1:8" x14ac:dyDescent="0.25">
      <c r="A8">
        <v>7</v>
      </c>
      <c r="B8">
        <v>11111111117</v>
      </c>
      <c r="C8" s="5" t="s">
        <v>102</v>
      </c>
      <c r="D8" s="5" t="s">
        <v>103</v>
      </c>
      <c r="E8" s="5" t="s">
        <v>104</v>
      </c>
      <c r="F8" s="6">
        <v>46279.542147569446</v>
      </c>
      <c r="G8" s="5" t="s">
        <v>17</v>
      </c>
      <c r="H8" s="5" t="s">
        <v>18</v>
      </c>
    </row>
    <row r="9" spans="1:8" x14ac:dyDescent="0.25">
      <c r="A9">
        <v>8</v>
      </c>
      <c r="B9">
        <v>11111111118</v>
      </c>
      <c r="C9" s="5" t="s">
        <v>105</v>
      </c>
      <c r="D9" s="5" t="s">
        <v>106</v>
      </c>
      <c r="E9" s="5" t="s">
        <v>107</v>
      </c>
      <c r="F9" s="6">
        <v>46279.542147569446</v>
      </c>
      <c r="G9" s="5" t="s">
        <v>17</v>
      </c>
      <c r="H9" s="5" t="s">
        <v>18</v>
      </c>
    </row>
    <row r="10" spans="1:8" x14ac:dyDescent="0.25">
      <c r="A10">
        <v>9</v>
      </c>
      <c r="B10">
        <v>11111111119</v>
      </c>
      <c r="C10" s="5" t="s">
        <v>108</v>
      </c>
      <c r="D10" s="5" t="s">
        <v>109</v>
      </c>
      <c r="E10" s="5" t="s">
        <v>110</v>
      </c>
      <c r="F10" s="6">
        <v>46279.542147569446</v>
      </c>
      <c r="G10" s="5" t="s">
        <v>17</v>
      </c>
      <c r="H10" s="5" t="s">
        <v>18</v>
      </c>
    </row>
    <row r="11" spans="1:8" x14ac:dyDescent="0.25">
      <c r="A11">
        <v>10</v>
      </c>
      <c r="B11">
        <v>11111111120</v>
      </c>
      <c r="C11" s="5" t="s">
        <v>111</v>
      </c>
      <c r="D11" s="5" t="s">
        <v>112</v>
      </c>
      <c r="E11" s="5" t="s">
        <v>113</v>
      </c>
      <c r="F11" s="6">
        <v>46279.542147569446</v>
      </c>
      <c r="G11" s="5" t="s">
        <v>17</v>
      </c>
      <c r="H11" s="5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DDFA-5705-409C-AF91-EC33EC471F6F}">
  <dimension ref="A1:M77"/>
  <sheetViews>
    <sheetView workbookViewId="0">
      <selection sqref="A1:M77"/>
    </sheetView>
  </sheetViews>
  <sheetFormatPr defaultRowHeight="15" x14ac:dyDescent="0.25"/>
  <cols>
    <col min="1" max="1" width="7.85546875" bestFit="1" customWidth="1"/>
    <col min="2" max="2" width="7.5703125" bestFit="1" customWidth="1"/>
    <col min="3" max="3" width="11" bestFit="1" customWidth="1"/>
    <col min="4" max="4" width="17.5703125" bestFit="1" customWidth="1"/>
    <col min="5" max="5" width="14.42578125" bestFit="1" customWidth="1"/>
    <col min="6" max="6" width="21.85546875" bestFit="1" customWidth="1"/>
    <col min="7" max="7" width="16.7109375" bestFit="1" customWidth="1"/>
    <col min="8" max="8" width="23" bestFit="1" customWidth="1"/>
    <col min="9" max="9" width="21.85546875" bestFit="1" customWidth="1"/>
    <col min="10" max="10" width="9" bestFit="1" customWidth="1"/>
    <col min="11" max="11" width="8.42578125" bestFit="1" customWidth="1"/>
    <col min="12" max="12" width="7.7109375" bestFit="1" customWidth="1"/>
    <col min="13" max="13" width="9" bestFit="1" customWidth="1"/>
  </cols>
  <sheetData>
    <row r="1" spans="1:13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77</v>
      </c>
      <c r="K1" t="s">
        <v>114</v>
      </c>
      <c r="L1" t="s">
        <v>8</v>
      </c>
      <c r="M1" t="s">
        <v>1</v>
      </c>
    </row>
    <row r="2" spans="1:13" x14ac:dyDescent="0.25">
      <c r="A2">
        <v>1</v>
      </c>
      <c r="B2">
        <v>1</v>
      </c>
      <c r="C2">
        <v>722655</v>
      </c>
      <c r="D2">
        <v>361327.5</v>
      </c>
      <c r="E2">
        <v>21679.65</v>
      </c>
      <c r="F2">
        <v>43359.3</v>
      </c>
      <c r="G2" s="5" t="s">
        <v>175</v>
      </c>
      <c r="H2">
        <v>2</v>
      </c>
      <c r="I2">
        <v>1</v>
      </c>
      <c r="J2">
        <v>7</v>
      </c>
      <c r="K2">
        <v>25</v>
      </c>
      <c r="L2">
        <v>14</v>
      </c>
      <c r="M2">
        <v>20250301</v>
      </c>
    </row>
    <row r="3" spans="1:13" x14ac:dyDescent="0.25">
      <c r="A3">
        <v>2</v>
      </c>
      <c r="B3">
        <v>1</v>
      </c>
      <c r="C3">
        <v>722655</v>
      </c>
      <c r="D3">
        <v>361327.5</v>
      </c>
      <c r="E3">
        <v>21679.65</v>
      </c>
      <c r="F3">
        <v>43359.3</v>
      </c>
      <c r="G3" s="5" t="s">
        <v>175</v>
      </c>
      <c r="H3">
        <v>2</v>
      </c>
      <c r="I3">
        <v>1</v>
      </c>
      <c r="J3">
        <v>7</v>
      </c>
      <c r="K3">
        <v>25</v>
      </c>
      <c r="L3">
        <v>15</v>
      </c>
      <c r="M3">
        <v>20250301</v>
      </c>
    </row>
    <row r="4" spans="1:13" x14ac:dyDescent="0.25">
      <c r="A4">
        <v>3</v>
      </c>
      <c r="B4">
        <v>2</v>
      </c>
      <c r="C4">
        <v>300000.42</v>
      </c>
      <c r="D4">
        <v>150000.21</v>
      </c>
      <c r="E4">
        <v>9000.0149999999994</v>
      </c>
      <c r="F4">
        <v>18000.03</v>
      </c>
      <c r="G4" s="5" t="s">
        <v>175</v>
      </c>
      <c r="H4">
        <v>2</v>
      </c>
      <c r="I4">
        <v>2</v>
      </c>
      <c r="J4">
        <v>5</v>
      </c>
      <c r="K4">
        <v>10</v>
      </c>
      <c r="L4">
        <v>9</v>
      </c>
      <c r="M4">
        <v>20250305</v>
      </c>
    </row>
    <row r="5" spans="1:13" x14ac:dyDescent="0.25">
      <c r="A5">
        <v>4</v>
      </c>
      <c r="B5">
        <v>2</v>
      </c>
      <c r="C5">
        <v>300000.42</v>
      </c>
      <c r="D5">
        <v>150000.21</v>
      </c>
      <c r="E5">
        <v>9000.0149999999994</v>
      </c>
      <c r="F5">
        <v>18000.03</v>
      </c>
      <c r="G5" s="5" t="s">
        <v>175</v>
      </c>
      <c r="H5">
        <v>2</v>
      </c>
      <c r="I5">
        <v>2</v>
      </c>
      <c r="J5">
        <v>5</v>
      </c>
      <c r="K5">
        <v>10</v>
      </c>
      <c r="L5">
        <v>11</v>
      </c>
      <c r="M5">
        <v>20250305</v>
      </c>
    </row>
    <row r="6" spans="1:13" x14ac:dyDescent="0.25">
      <c r="A6">
        <v>5</v>
      </c>
      <c r="B6">
        <v>3</v>
      </c>
      <c r="C6">
        <v>648957.31999999995</v>
      </c>
      <c r="D6">
        <v>648957.31999999995</v>
      </c>
      <c r="E6">
        <v>38937.440000000002</v>
      </c>
      <c r="F6">
        <v>38937.440000000002</v>
      </c>
      <c r="G6" s="5" t="s">
        <v>175</v>
      </c>
      <c r="H6">
        <v>1</v>
      </c>
      <c r="I6">
        <v>1</v>
      </c>
      <c r="J6">
        <v>7</v>
      </c>
      <c r="K6">
        <v>4</v>
      </c>
      <c r="L6">
        <v>29</v>
      </c>
      <c r="M6">
        <v>20250310</v>
      </c>
    </row>
    <row r="7" spans="1:13" x14ac:dyDescent="0.25">
      <c r="A7">
        <v>6</v>
      </c>
      <c r="B7">
        <v>4</v>
      </c>
      <c r="C7">
        <v>956740.95</v>
      </c>
      <c r="D7">
        <v>956740.95</v>
      </c>
      <c r="E7">
        <v>57404.46</v>
      </c>
      <c r="F7">
        <v>57404.46</v>
      </c>
      <c r="G7" s="5" t="s">
        <v>175</v>
      </c>
      <c r="H7">
        <v>1</v>
      </c>
      <c r="I7">
        <v>1</v>
      </c>
      <c r="J7">
        <v>5</v>
      </c>
      <c r="K7">
        <v>21</v>
      </c>
      <c r="L7">
        <v>19</v>
      </c>
      <c r="M7">
        <v>20250315</v>
      </c>
    </row>
    <row r="8" spans="1:13" x14ac:dyDescent="0.25">
      <c r="A8">
        <v>7</v>
      </c>
      <c r="B8">
        <v>5</v>
      </c>
      <c r="C8">
        <v>530068.04</v>
      </c>
      <c r="D8">
        <v>265034.02</v>
      </c>
      <c r="E8">
        <v>15902.04</v>
      </c>
      <c r="F8">
        <v>31804.080000000002</v>
      </c>
      <c r="G8" s="5" t="s">
        <v>175</v>
      </c>
      <c r="H8">
        <v>2</v>
      </c>
      <c r="I8">
        <v>1</v>
      </c>
      <c r="J8">
        <v>2</v>
      </c>
      <c r="K8">
        <v>30</v>
      </c>
      <c r="L8">
        <v>1</v>
      </c>
      <c r="M8">
        <v>20250320</v>
      </c>
    </row>
    <row r="9" spans="1:13" x14ac:dyDescent="0.25">
      <c r="A9">
        <v>8</v>
      </c>
      <c r="B9">
        <v>5</v>
      </c>
      <c r="C9">
        <v>530068.04</v>
      </c>
      <c r="D9">
        <v>265034.02</v>
      </c>
      <c r="E9">
        <v>15902.04</v>
      </c>
      <c r="F9">
        <v>31804.080000000002</v>
      </c>
      <c r="G9" s="5" t="s">
        <v>175</v>
      </c>
      <c r="H9">
        <v>2</v>
      </c>
      <c r="I9">
        <v>1</v>
      </c>
      <c r="J9">
        <v>2</v>
      </c>
      <c r="K9">
        <v>30</v>
      </c>
      <c r="L9">
        <v>11</v>
      </c>
      <c r="M9">
        <v>20250320</v>
      </c>
    </row>
    <row r="10" spans="1:13" x14ac:dyDescent="0.25">
      <c r="A10">
        <v>9</v>
      </c>
      <c r="B10">
        <v>6</v>
      </c>
      <c r="C10">
        <v>1077974.1000000001</v>
      </c>
      <c r="D10">
        <v>1077974.1000000001</v>
      </c>
      <c r="E10">
        <v>64678.45</v>
      </c>
      <c r="F10">
        <v>64678.45</v>
      </c>
      <c r="G10" s="5" t="s">
        <v>175</v>
      </c>
      <c r="H10">
        <v>1</v>
      </c>
      <c r="I10">
        <v>1</v>
      </c>
      <c r="J10">
        <v>8</v>
      </c>
      <c r="K10">
        <v>12</v>
      </c>
      <c r="L10">
        <v>16</v>
      </c>
      <c r="M10">
        <v>20250325</v>
      </c>
    </row>
    <row r="11" spans="1:13" x14ac:dyDescent="0.25">
      <c r="A11">
        <v>10</v>
      </c>
      <c r="B11">
        <v>7</v>
      </c>
      <c r="C11">
        <v>529641.81999999995</v>
      </c>
      <c r="D11">
        <v>529641.81999999995</v>
      </c>
      <c r="E11">
        <v>31778.51</v>
      </c>
      <c r="F11">
        <v>31778.51</v>
      </c>
      <c r="G11" s="5" t="s">
        <v>175</v>
      </c>
      <c r="H11">
        <v>1</v>
      </c>
      <c r="I11">
        <v>1</v>
      </c>
      <c r="J11">
        <v>1</v>
      </c>
      <c r="K11">
        <v>8</v>
      </c>
      <c r="L11">
        <v>11</v>
      </c>
      <c r="M11">
        <v>20250401</v>
      </c>
    </row>
    <row r="12" spans="1:13" x14ac:dyDescent="0.25">
      <c r="A12">
        <v>11</v>
      </c>
      <c r="B12">
        <v>8</v>
      </c>
      <c r="C12">
        <v>1323758.44</v>
      </c>
      <c r="D12">
        <v>661879.22</v>
      </c>
      <c r="E12">
        <v>39712.754999999997</v>
      </c>
      <c r="F12">
        <v>79425.509999999995</v>
      </c>
      <c r="G12" s="5" t="s">
        <v>175</v>
      </c>
      <c r="H12">
        <v>2</v>
      </c>
      <c r="I12">
        <v>2</v>
      </c>
      <c r="J12">
        <v>9</v>
      </c>
      <c r="K12">
        <v>3</v>
      </c>
      <c r="L12">
        <v>9</v>
      </c>
      <c r="M12">
        <v>20250405</v>
      </c>
    </row>
    <row r="13" spans="1:13" x14ac:dyDescent="0.25">
      <c r="A13">
        <v>12</v>
      </c>
      <c r="B13">
        <v>8</v>
      </c>
      <c r="C13">
        <v>1323758.44</v>
      </c>
      <c r="D13">
        <v>661879.22</v>
      </c>
      <c r="E13">
        <v>39712.754999999997</v>
      </c>
      <c r="F13">
        <v>79425.509999999995</v>
      </c>
      <c r="G13" s="5" t="s">
        <v>175</v>
      </c>
      <c r="H13">
        <v>2</v>
      </c>
      <c r="I13">
        <v>2</v>
      </c>
      <c r="J13">
        <v>9</v>
      </c>
      <c r="K13">
        <v>3</v>
      </c>
      <c r="L13">
        <v>29</v>
      </c>
      <c r="M13">
        <v>20250405</v>
      </c>
    </row>
    <row r="14" spans="1:13" x14ac:dyDescent="0.25">
      <c r="A14">
        <v>13</v>
      </c>
      <c r="B14">
        <v>9</v>
      </c>
      <c r="C14">
        <v>1385339.68</v>
      </c>
      <c r="D14">
        <v>692669.84</v>
      </c>
      <c r="E14">
        <v>41560.19</v>
      </c>
      <c r="F14">
        <v>83120.38</v>
      </c>
      <c r="G14" s="5" t="s">
        <v>175</v>
      </c>
      <c r="H14">
        <v>2</v>
      </c>
      <c r="I14">
        <v>1</v>
      </c>
      <c r="J14">
        <v>1</v>
      </c>
      <c r="K14">
        <v>7</v>
      </c>
      <c r="L14">
        <v>3</v>
      </c>
      <c r="M14">
        <v>20250410</v>
      </c>
    </row>
    <row r="15" spans="1:13" x14ac:dyDescent="0.25">
      <c r="A15">
        <v>14</v>
      </c>
      <c r="B15">
        <v>9</v>
      </c>
      <c r="C15">
        <v>1385339.68</v>
      </c>
      <c r="D15">
        <v>692669.84</v>
      </c>
      <c r="E15">
        <v>41560.19</v>
      </c>
      <c r="F15">
        <v>83120.38</v>
      </c>
      <c r="G15" s="5" t="s">
        <v>175</v>
      </c>
      <c r="H15">
        <v>2</v>
      </c>
      <c r="I15">
        <v>1</v>
      </c>
      <c r="J15">
        <v>1</v>
      </c>
      <c r="K15">
        <v>7</v>
      </c>
      <c r="L15">
        <v>8</v>
      </c>
      <c r="M15">
        <v>20250410</v>
      </c>
    </row>
    <row r="16" spans="1:13" x14ac:dyDescent="0.25">
      <c r="A16">
        <v>15</v>
      </c>
      <c r="B16">
        <v>10</v>
      </c>
      <c r="C16">
        <v>422204.21</v>
      </c>
      <c r="D16">
        <v>422204.21</v>
      </c>
      <c r="E16">
        <v>25332.25</v>
      </c>
      <c r="F16">
        <v>25332.25</v>
      </c>
      <c r="G16" s="5" t="s">
        <v>175</v>
      </c>
      <c r="H16">
        <v>1</v>
      </c>
      <c r="I16">
        <v>1</v>
      </c>
      <c r="J16">
        <v>6</v>
      </c>
      <c r="K16">
        <v>27</v>
      </c>
      <c r="L16">
        <v>18</v>
      </c>
      <c r="M16">
        <v>20250415</v>
      </c>
    </row>
    <row r="17" spans="1:13" x14ac:dyDescent="0.25">
      <c r="A17">
        <v>16</v>
      </c>
      <c r="B17">
        <v>11</v>
      </c>
      <c r="C17">
        <v>942104.83</v>
      </c>
      <c r="D17">
        <v>942104.83</v>
      </c>
      <c r="E17">
        <v>56526.29</v>
      </c>
      <c r="F17">
        <v>56526.29</v>
      </c>
      <c r="G17" s="5" t="s">
        <v>175</v>
      </c>
      <c r="H17">
        <v>1</v>
      </c>
      <c r="I17">
        <v>2</v>
      </c>
      <c r="J17">
        <v>4</v>
      </c>
      <c r="K17">
        <v>2</v>
      </c>
      <c r="L17">
        <v>16</v>
      </c>
      <c r="M17">
        <v>20250420</v>
      </c>
    </row>
    <row r="18" spans="1:13" x14ac:dyDescent="0.25">
      <c r="A18">
        <v>17</v>
      </c>
      <c r="B18">
        <v>12</v>
      </c>
      <c r="C18">
        <v>1176950.06</v>
      </c>
      <c r="D18">
        <v>1176950.06</v>
      </c>
      <c r="E18">
        <v>70617</v>
      </c>
      <c r="F18">
        <v>70617</v>
      </c>
      <c r="G18" s="5" t="s">
        <v>175</v>
      </c>
      <c r="H18">
        <v>1</v>
      </c>
      <c r="I18">
        <v>1</v>
      </c>
      <c r="J18">
        <v>2</v>
      </c>
      <c r="K18">
        <v>19</v>
      </c>
      <c r="L18">
        <v>26</v>
      </c>
      <c r="M18">
        <v>20250425</v>
      </c>
    </row>
    <row r="19" spans="1:13" x14ac:dyDescent="0.25">
      <c r="A19">
        <v>18</v>
      </c>
      <c r="B19">
        <v>13</v>
      </c>
      <c r="C19">
        <v>1245896.04</v>
      </c>
      <c r="D19">
        <v>1245896.04</v>
      </c>
      <c r="E19">
        <v>74753.759999999995</v>
      </c>
      <c r="F19">
        <v>74753.759999999995</v>
      </c>
      <c r="G19" s="5" t="s">
        <v>175</v>
      </c>
      <c r="H19">
        <v>1</v>
      </c>
      <c r="I19">
        <v>1</v>
      </c>
      <c r="J19">
        <v>1</v>
      </c>
      <c r="K19">
        <v>24</v>
      </c>
      <c r="L19">
        <v>8</v>
      </c>
      <c r="M19">
        <v>20250501</v>
      </c>
    </row>
    <row r="20" spans="1:13" x14ac:dyDescent="0.25">
      <c r="A20">
        <v>19</v>
      </c>
      <c r="B20">
        <v>14</v>
      </c>
      <c r="C20">
        <v>815393.11</v>
      </c>
      <c r="D20">
        <v>407696.55499999999</v>
      </c>
      <c r="E20">
        <v>24461.794999999998</v>
      </c>
      <c r="F20">
        <v>48923.59</v>
      </c>
      <c r="G20" s="5" t="s">
        <v>175</v>
      </c>
      <c r="H20">
        <v>2</v>
      </c>
      <c r="I20">
        <v>1</v>
      </c>
      <c r="J20">
        <v>1</v>
      </c>
      <c r="K20">
        <v>29</v>
      </c>
      <c r="L20">
        <v>10</v>
      </c>
      <c r="M20">
        <v>20250505</v>
      </c>
    </row>
    <row r="21" spans="1:13" x14ac:dyDescent="0.25">
      <c r="A21">
        <v>20</v>
      </c>
      <c r="B21">
        <v>14</v>
      </c>
      <c r="C21">
        <v>815393.11</v>
      </c>
      <c r="D21">
        <v>407696.55499999999</v>
      </c>
      <c r="E21">
        <v>24461.794999999998</v>
      </c>
      <c r="F21">
        <v>48923.59</v>
      </c>
      <c r="G21" s="5" t="s">
        <v>175</v>
      </c>
      <c r="H21">
        <v>2</v>
      </c>
      <c r="I21">
        <v>1</v>
      </c>
      <c r="J21">
        <v>1</v>
      </c>
      <c r="K21">
        <v>29</v>
      </c>
      <c r="L21">
        <v>22</v>
      </c>
      <c r="M21">
        <v>20250505</v>
      </c>
    </row>
    <row r="22" spans="1:13" x14ac:dyDescent="0.25">
      <c r="A22">
        <v>21</v>
      </c>
      <c r="B22">
        <v>15</v>
      </c>
      <c r="C22">
        <v>1429840.26</v>
      </c>
      <c r="D22">
        <v>1429840.26</v>
      </c>
      <c r="E22">
        <v>85790.42</v>
      </c>
      <c r="F22">
        <v>85790.42</v>
      </c>
      <c r="G22" s="5" t="s">
        <v>175</v>
      </c>
      <c r="H22">
        <v>1</v>
      </c>
      <c r="I22">
        <v>1</v>
      </c>
      <c r="J22">
        <v>4</v>
      </c>
      <c r="K22">
        <v>18</v>
      </c>
      <c r="L22">
        <v>18</v>
      </c>
      <c r="M22">
        <v>20250510</v>
      </c>
    </row>
    <row r="23" spans="1:13" x14ac:dyDescent="0.25">
      <c r="A23">
        <v>22</v>
      </c>
      <c r="B23">
        <v>16</v>
      </c>
      <c r="C23">
        <v>775961.71</v>
      </c>
      <c r="D23">
        <v>775961.71</v>
      </c>
      <c r="E23">
        <v>46557.7</v>
      </c>
      <c r="F23">
        <v>46557.7</v>
      </c>
      <c r="G23" s="5" t="s">
        <v>175</v>
      </c>
      <c r="H23">
        <v>1</v>
      </c>
      <c r="I23">
        <v>1</v>
      </c>
      <c r="J23">
        <v>4</v>
      </c>
      <c r="K23">
        <v>20</v>
      </c>
      <c r="L23">
        <v>24</v>
      </c>
      <c r="M23">
        <v>20250515</v>
      </c>
    </row>
    <row r="24" spans="1:13" x14ac:dyDescent="0.25">
      <c r="A24">
        <v>23</v>
      </c>
      <c r="B24">
        <v>17</v>
      </c>
      <c r="C24">
        <v>395691.29</v>
      </c>
      <c r="D24">
        <v>395691.29</v>
      </c>
      <c r="E24">
        <v>23741.48</v>
      </c>
      <c r="F24">
        <v>23741.48</v>
      </c>
      <c r="G24" s="5" t="s">
        <v>175</v>
      </c>
      <c r="H24">
        <v>1</v>
      </c>
      <c r="I24">
        <v>1</v>
      </c>
      <c r="J24">
        <v>1</v>
      </c>
      <c r="K24">
        <v>5</v>
      </c>
      <c r="L24">
        <v>23</v>
      </c>
      <c r="M24">
        <v>20250520</v>
      </c>
    </row>
    <row r="25" spans="1:13" x14ac:dyDescent="0.25">
      <c r="A25">
        <v>24</v>
      </c>
      <c r="B25">
        <v>18</v>
      </c>
      <c r="C25">
        <v>1186514.26</v>
      </c>
      <c r="D25">
        <v>1186514.26</v>
      </c>
      <c r="E25">
        <v>71190.86</v>
      </c>
      <c r="F25">
        <v>71190.86</v>
      </c>
      <c r="G25" s="5" t="s">
        <v>175</v>
      </c>
      <c r="H25">
        <v>1</v>
      </c>
      <c r="I25">
        <v>1</v>
      </c>
      <c r="J25">
        <v>10</v>
      </c>
      <c r="K25">
        <v>15</v>
      </c>
      <c r="L25">
        <v>9</v>
      </c>
      <c r="M25">
        <v>20250525</v>
      </c>
    </row>
    <row r="26" spans="1:13" x14ac:dyDescent="0.25">
      <c r="A26">
        <v>25</v>
      </c>
      <c r="B26">
        <v>19</v>
      </c>
      <c r="C26">
        <v>482343.45</v>
      </c>
      <c r="D26">
        <v>482343.45</v>
      </c>
      <c r="E26">
        <v>28940.61</v>
      </c>
      <c r="F26">
        <v>28940.61</v>
      </c>
      <c r="G26" s="5" t="s">
        <v>175</v>
      </c>
      <c r="H26">
        <v>1</v>
      </c>
      <c r="I26">
        <v>2</v>
      </c>
      <c r="J26">
        <v>3</v>
      </c>
      <c r="K26">
        <v>6</v>
      </c>
      <c r="L26">
        <v>7</v>
      </c>
      <c r="M26">
        <v>20250601</v>
      </c>
    </row>
    <row r="27" spans="1:13" x14ac:dyDescent="0.25">
      <c r="A27">
        <v>26</v>
      </c>
      <c r="B27">
        <v>20</v>
      </c>
      <c r="C27">
        <v>246776.59</v>
      </c>
      <c r="D27">
        <v>123388.295</v>
      </c>
      <c r="E27">
        <v>7403.3</v>
      </c>
      <c r="F27">
        <v>14806.6</v>
      </c>
      <c r="G27" s="5" t="s">
        <v>175</v>
      </c>
      <c r="H27">
        <v>2</v>
      </c>
      <c r="I27">
        <v>2</v>
      </c>
      <c r="J27">
        <v>4</v>
      </c>
      <c r="K27">
        <v>28</v>
      </c>
      <c r="L27">
        <v>23</v>
      </c>
      <c r="M27">
        <v>20250605</v>
      </c>
    </row>
    <row r="28" spans="1:13" x14ac:dyDescent="0.25">
      <c r="A28">
        <v>27</v>
      </c>
      <c r="B28">
        <v>20</v>
      </c>
      <c r="C28">
        <v>246776.59</v>
      </c>
      <c r="D28">
        <v>123388.295</v>
      </c>
      <c r="E28">
        <v>7403.3</v>
      </c>
      <c r="F28">
        <v>14806.6</v>
      </c>
      <c r="G28" s="5" t="s">
        <v>175</v>
      </c>
      <c r="H28">
        <v>2</v>
      </c>
      <c r="I28">
        <v>2</v>
      </c>
      <c r="J28">
        <v>4</v>
      </c>
      <c r="K28">
        <v>28</v>
      </c>
      <c r="L28">
        <v>25</v>
      </c>
      <c r="M28">
        <v>20250605</v>
      </c>
    </row>
    <row r="29" spans="1:13" x14ac:dyDescent="0.25">
      <c r="A29">
        <v>28</v>
      </c>
      <c r="B29">
        <v>21</v>
      </c>
      <c r="C29">
        <v>508226.36</v>
      </c>
      <c r="D29">
        <v>508226.36</v>
      </c>
      <c r="E29">
        <v>30493.58</v>
      </c>
      <c r="F29">
        <v>30493.58</v>
      </c>
      <c r="G29" s="5" t="s">
        <v>175</v>
      </c>
      <c r="H29">
        <v>1</v>
      </c>
      <c r="I29">
        <v>2</v>
      </c>
      <c r="J29">
        <v>3</v>
      </c>
      <c r="K29">
        <v>26</v>
      </c>
      <c r="L29">
        <v>16</v>
      </c>
      <c r="M29">
        <v>20250610</v>
      </c>
    </row>
    <row r="30" spans="1:13" x14ac:dyDescent="0.25">
      <c r="A30">
        <v>29</v>
      </c>
      <c r="B30">
        <v>22</v>
      </c>
      <c r="C30">
        <v>1314718.73</v>
      </c>
      <c r="D30">
        <v>657359.36499999999</v>
      </c>
      <c r="E30">
        <v>39441.56</v>
      </c>
      <c r="F30">
        <v>78883.12</v>
      </c>
      <c r="G30" s="5" t="s">
        <v>175</v>
      </c>
      <c r="H30">
        <v>2</v>
      </c>
      <c r="I30">
        <v>2</v>
      </c>
      <c r="J30">
        <v>8</v>
      </c>
      <c r="K30">
        <v>22</v>
      </c>
      <c r="L30">
        <v>10</v>
      </c>
      <c r="M30">
        <v>20250615</v>
      </c>
    </row>
    <row r="31" spans="1:13" x14ac:dyDescent="0.25">
      <c r="A31">
        <v>30</v>
      </c>
      <c r="B31">
        <v>22</v>
      </c>
      <c r="C31">
        <v>1314718.73</v>
      </c>
      <c r="D31">
        <v>657359.36499999999</v>
      </c>
      <c r="E31">
        <v>39441.56</v>
      </c>
      <c r="F31">
        <v>78883.12</v>
      </c>
      <c r="G31" s="5" t="s">
        <v>175</v>
      </c>
      <c r="H31">
        <v>2</v>
      </c>
      <c r="I31">
        <v>2</v>
      </c>
      <c r="J31">
        <v>8</v>
      </c>
      <c r="K31">
        <v>22</v>
      </c>
      <c r="L31">
        <v>20</v>
      </c>
      <c r="M31">
        <v>20250615</v>
      </c>
    </row>
    <row r="32" spans="1:13" x14ac:dyDescent="0.25">
      <c r="A32">
        <v>31</v>
      </c>
      <c r="B32">
        <v>23</v>
      </c>
      <c r="C32">
        <v>687892.85</v>
      </c>
      <c r="D32">
        <v>687892.85</v>
      </c>
      <c r="E32">
        <v>41273.57</v>
      </c>
      <c r="F32">
        <v>41273.57</v>
      </c>
      <c r="G32" s="5" t="s">
        <v>175</v>
      </c>
      <c r="H32">
        <v>1</v>
      </c>
      <c r="I32">
        <v>1</v>
      </c>
      <c r="J32">
        <v>2</v>
      </c>
      <c r="K32">
        <v>11</v>
      </c>
      <c r="L32">
        <v>8</v>
      </c>
      <c r="M32">
        <v>20250620</v>
      </c>
    </row>
    <row r="33" spans="1:13" x14ac:dyDescent="0.25">
      <c r="A33">
        <v>32</v>
      </c>
      <c r="B33">
        <v>24</v>
      </c>
      <c r="C33">
        <v>567420.17000000004</v>
      </c>
      <c r="D33">
        <v>567420.17000000004</v>
      </c>
      <c r="E33">
        <v>34045.21</v>
      </c>
      <c r="F33">
        <v>34045.21</v>
      </c>
      <c r="G33" s="5" t="s">
        <v>175</v>
      </c>
      <c r="H33">
        <v>1</v>
      </c>
      <c r="I33">
        <v>1</v>
      </c>
      <c r="J33">
        <v>10</v>
      </c>
      <c r="K33">
        <v>13</v>
      </c>
      <c r="L33">
        <v>1</v>
      </c>
      <c r="M33">
        <v>20250625</v>
      </c>
    </row>
    <row r="34" spans="1:13" x14ac:dyDescent="0.25">
      <c r="A34">
        <v>33</v>
      </c>
      <c r="B34">
        <v>25</v>
      </c>
      <c r="C34">
        <v>1365126.21</v>
      </c>
      <c r="D34">
        <v>682563.10499999998</v>
      </c>
      <c r="E34">
        <v>40953.785000000003</v>
      </c>
      <c r="F34">
        <v>81907.570000000007</v>
      </c>
      <c r="G34" s="5" t="s">
        <v>175</v>
      </c>
      <c r="H34">
        <v>2</v>
      </c>
      <c r="I34">
        <v>1</v>
      </c>
      <c r="J34">
        <v>4</v>
      </c>
      <c r="K34">
        <v>9</v>
      </c>
      <c r="L34">
        <v>2</v>
      </c>
      <c r="M34">
        <v>20250715</v>
      </c>
    </row>
    <row r="35" spans="1:13" x14ac:dyDescent="0.25">
      <c r="A35">
        <v>34</v>
      </c>
      <c r="B35">
        <v>25</v>
      </c>
      <c r="C35">
        <v>1365126.21</v>
      </c>
      <c r="D35">
        <v>682563.10499999998</v>
      </c>
      <c r="E35">
        <v>40953.785000000003</v>
      </c>
      <c r="F35">
        <v>81907.570000000007</v>
      </c>
      <c r="G35" s="5" t="s">
        <v>175</v>
      </c>
      <c r="H35">
        <v>2</v>
      </c>
      <c r="I35">
        <v>1</v>
      </c>
      <c r="J35">
        <v>4</v>
      </c>
      <c r="K35">
        <v>9</v>
      </c>
      <c r="L35">
        <v>9</v>
      </c>
      <c r="M35">
        <v>20250715</v>
      </c>
    </row>
    <row r="36" spans="1:13" x14ac:dyDescent="0.25">
      <c r="A36">
        <v>35</v>
      </c>
      <c r="B36">
        <v>26</v>
      </c>
      <c r="C36">
        <v>1365126.21</v>
      </c>
      <c r="D36">
        <v>682563.10499999998</v>
      </c>
      <c r="E36">
        <v>40953.785000000003</v>
      </c>
      <c r="F36">
        <v>81907.570000000007</v>
      </c>
      <c r="G36" s="5" t="s">
        <v>175</v>
      </c>
      <c r="H36">
        <v>2</v>
      </c>
      <c r="I36">
        <v>1</v>
      </c>
      <c r="J36">
        <v>8</v>
      </c>
      <c r="K36">
        <v>9</v>
      </c>
      <c r="L36">
        <v>5</v>
      </c>
      <c r="M36">
        <v>20250715</v>
      </c>
    </row>
    <row r="37" spans="1:13" x14ac:dyDescent="0.25">
      <c r="A37">
        <v>36</v>
      </c>
      <c r="B37">
        <v>26</v>
      </c>
      <c r="C37">
        <v>1365126.21</v>
      </c>
      <c r="D37">
        <v>682563.10499999998</v>
      </c>
      <c r="E37">
        <v>40953.785000000003</v>
      </c>
      <c r="F37">
        <v>81907.570000000007</v>
      </c>
      <c r="G37" s="5" t="s">
        <v>175</v>
      </c>
      <c r="H37">
        <v>2</v>
      </c>
      <c r="I37">
        <v>1</v>
      </c>
      <c r="J37">
        <v>8</v>
      </c>
      <c r="K37">
        <v>9</v>
      </c>
      <c r="L37">
        <v>23</v>
      </c>
      <c r="M37">
        <v>20250715</v>
      </c>
    </row>
    <row r="38" spans="1:13" x14ac:dyDescent="0.25">
      <c r="A38">
        <v>37</v>
      </c>
      <c r="B38">
        <v>27</v>
      </c>
      <c r="C38">
        <v>462792.59</v>
      </c>
      <c r="D38">
        <v>462792.59</v>
      </c>
      <c r="E38">
        <v>27767.56</v>
      </c>
      <c r="F38">
        <v>27767.56</v>
      </c>
      <c r="G38" s="5" t="s">
        <v>175</v>
      </c>
      <c r="H38">
        <v>1</v>
      </c>
      <c r="I38">
        <v>1</v>
      </c>
      <c r="J38">
        <v>5</v>
      </c>
      <c r="K38">
        <v>23</v>
      </c>
      <c r="L38">
        <v>28</v>
      </c>
      <c r="M38">
        <v>20250830</v>
      </c>
    </row>
    <row r="39" spans="1:13" x14ac:dyDescent="0.25">
      <c r="A39">
        <v>38</v>
      </c>
      <c r="B39">
        <v>28</v>
      </c>
      <c r="C39">
        <v>1185790.1000000001</v>
      </c>
      <c r="D39">
        <v>592895.05000000005</v>
      </c>
      <c r="E39">
        <v>35573.705000000002</v>
      </c>
      <c r="F39">
        <v>71147.41</v>
      </c>
      <c r="G39" s="5" t="s">
        <v>175</v>
      </c>
      <c r="H39">
        <v>2</v>
      </c>
      <c r="I39">
        <v>1</v>
      </c>
      <c r="J39">
        <v>6</v>
      </c>
      <c r="K39">
        <v>14</v>
      </c>
      <c r="L39">
        <v>15</v>
      </c>
      <c r="M39">
        <v>20250830</v>
      </c>
    </row>
    <row r="40" spans="1:13" x14ac:dyDescent="0.25">
      <c r="A40">
        <v>39</v>
      </c>
      <c r="B40">
        <v>28</v>
      </c>
      <c r="C40">
        <v>1185790.1000000001</v>
      </c>
      <c r="D40">
        <v>592895.05000000005</v>
      </c>
      <c r="E40">
        <v>35573.705000000002</v>
      </c>
      <c r="F40">
        <v>71147.41</v>
      </c>
      <c r="G40" s="5" t="s">
        <v>175</v>
      </c>
      <c r="H40">
        <v>2</v>
      </c>
      <c r="I40">
        <v>1</v>
      </c>
      <c r="J40">
        <v>6</v>
      </c>
      <c r="K40">
        <v>14</v>
      </c>
      <c r="L40">
        <v>16</v>
      </c>
      <c r="M40">
        <v>20250830</v>
      </c>
    </row>
    <row r="41" spans="1:13" x14ac:dyDescent="0.25">
      <c r="A41">
        <v>40</v>
      </c>
      <c r="B41">
        <v>29</v>
      </c>
      <c r="C41">
        <v>293062.56</v>
      </c>
      <c r="D41">
        <v>293062.56</v>
      </c>
      <c r="E41">
        <v>17583.75</v>
      </c>
      <c r="F41">
        <v>17583.75</v>
      </c>
      <c r="G41" s="5" t="s">
        <v>175</v>
      </c>
      <c r="H41">
        <v>1</v>
      </c>
      <c r="I41">
        <v>1</v>
      </c>
      <c r="J41">
        <v>3</v>
      </c>
      <c r="K41">
        <v>17</v>
      </c>
      <c r="L41">
        <v>9</v>
      </c>
      <c r="M41">
        <v>20250830</v>
      </c>
    </row>
    <row r="42" spans="1:13" x14ac:dyDescent="0.25">
      <c r="A42">
        <v>41</v>
      </c>
      <c r="B42">
        <v>1</v>
      </c>
      <c r="C42">
        <v>722655</v>
      </c>
      <c r="D42">
        <v>722655</v>
      </c>
      <c r="E42">
        <v>43359.3</v>
      </c>
      <c r="F42">
        <v>43359.3</v>
      </c>
      <c r="G42" s="5" t="s">
        <v>176</v>
      </c>
      <c r="H42">
        <v>2</v>
      </c>
      <c r="I42">
        <v>1</v>
      </c>
      <c r="J42">
        <v>7</v>
      </c>
      <c r="K42">
        <v>25</v>
      </c>
      <c r="L42">
        <v>29</v>
      </c>
      <c r="M42">
        <v>20250301</v>
      </c>
    </row>
    <row r="43" spans="1:13" x14ac:dyDescent="0.25">
      <c r="A43">
        <v>42</v>
      </c>
      <c r="B43">
        <v>2</v>
      </c>
      <c r="C43">
        <v>300000.42</v>
      </c>
      <c r="D43">
        <v>150000.21</v>
      </c>
      <c r="E43">
        <v>9000.0149999999994</v>
      </c>
      <c r="F43">
        <v>18000.03</v>
      </c>
      <c r="G43" s="5" t="s">
        <v>176</v>
      </c>
      <c r="H43">
        <v>2</v>
      </c>
      <c r="I43">
        <v>2</v>
      </c>
      <c r="J43">
        <v>5</v>
      </c>
      <c r="K43">
        <v>10</v>
      </c>
      <c r="L43">
        <v>8</v>
      </c>
      <c r="M43">
        <v>20250305</v>
      </c>
    </row>
    <row r="44" spans="1:13" x14ac:dyDescent="0.25">
      <c r="A44">
        <v>43</v>
      </c>
      <c r="B44">
        <v>2</v>
      </c>
      <c r="C44">
        <v>300000.42</v>
      </c>
      <c r="D44">
        <v>150000.21</v>
      </c>
      <c r="E44">
        <v>9000.0149999999994</v>
      </c>
      <c r="F44">
        <v>18000.03</v>
      </c>
      <c r="G44" s="5" t="s">
        <v>176</v>
      </c>
      <c r="H44">
        <v>2</v>
      </c>
      <c r="I44">
        <v>2</v>
      </c>
      <c r="J44">
        <v>5</v>
      </c>
      <c r="K44">
        <v>10</v>
      </c>
      <c r="L44">
        <v>30</v>
      </c>
      <c r="M44">
        <v>20250305</v>
      </c>
    </row>
    <row r="45" spans="1:13" x14ac:dyDescent="0.25">
      <c r="A45">
        <v>44</v>
      </c>
      <c r="B45">
        <v>3</v>
      </c>
      <c r="C45">
        <v>648957.31999999995</v>
      </c>
      <c r="D45">
        <v>648957.31999999995</v>
      </c>
      <c r="E45">
        <v>38937.440000000002</v>
      </c>
      <c r="F45">
        <v>38937.440000000002</v>
      </c>
      <c r="G45" s="5" t="s">
        <v>176</v>
      </c>
      <c r="H45">
        <v>1</v>
      </c>
      <c r="I45">
        <v>1</v>
      </c>
      <c r="J45">
        <v>7</v>
      </c>
      <c r="K45">
        <v>4</v>
      </c>
      <c r="L45">
        <v>15</v>
      </c>
      <c r="M45">
        <v>20250310</v>
      </c>
    </row>
    <row r="46" spans="1:13" x14ac:dyDescent="0.25">
      <c r="A46">
        <v>45</v>
      </c>
      <c r="B46">
        <v>4</v>
      </c>
      <c r="C46">
        <v>956740.95</v>
      </c>
      <c r="D46">
        <v>956740.95</v>
      </c>
      <c r="E46">
        <v>57404.46</v>
      </c>
      <c r="F46">
        <v>57404.46</v>
      </c>
      <c r="G46" s="5" t="s">
        <v>176</v>
      </c>
      <c r="H46">
        <v>1</v>
      </c>
      <c r="I46">
        <v>1</v>
      </c>
      <c r="J46">
        <v>5</v>
      </c>
      <c r="K46">
        <v>21</v>
      </c>
      <c r="L46">
        <v>21</v>
      </c>
      <c r="M46">
        <v>20250315</v>
      </c>
    </row>
    <row r="47" spans="1:13" x14ac:dyDescent="0.25">
      <c r="A47">
        <v>46</v>
      </c>
      <c r="B47">
        <v>5</v>
      </c>
      <c r="C47">
        <v>530068.04</v>
      </c>
      <c r="D47">
        <v>530068.04</v>
      </c>
      <c r="E47">
        <v>31804.080000000002</v>
      </c>
      <c r="F47">
        <v>31804.080000000002</v>
      </c>
      <c r="G47" s="5" t="s">
        <v>176</v>
      </c>
      <c r="H47">
        <v>2</v>
      </c>
      <c r="I47">
        <v>1</v>
      </c>
      <c r="J47">
        <v>2</v>
      </c>
      <c r="K47">
        <v>30</v>
      </c>
      <c r="L47">
        <v>18</v>
      </c>
      <c r="M47">
        <v>20250320</v>
      </c>
    </row>
    <row r="48" spans="1:13" x14ac:dyDescent="0.25">
      <c r="A48">
        <v>47</v>
      </c>
      <c r="B48">
        <v>6</v>
      </c>
      <c r="C48">
        <v>1077974.1000000001</v>
      </c>
      <c r="D48">
        <v>1077974.1000000001</v>
      </c>
      <c r="E48">
        <v>64678.45</v>
      </c>
      <c r="F48">
        <v>64678.45</v>
      </c>
      <c r="G48" s="5" t="s">
        <v>176</v>
      </c>
      <c r="H48">
        <v>1</v>
      </c>
      <c r="I48">
        <v>1</v>
      </c>
      <c r="J48">
        <v>8</v>
      </c>
      <c r="K48">
        <v>12</v>
      </c>
      <c r="L48">
        <v>7</v>
      </c>
      <c r="M48">
        <v>20250325</v>
      </c>
    </row>
    <row r="49" spans="1:13" x14ac:dyDescent="0.25">
      <c r="A49">
        <v>48</v>
      </c>
      <c r="B49">
        <v>7</v>
      </c>
      <c r="C49">
        <v>529641.81999999995</v>
      </c>
      <c r="D49">
        <v>529641.81999999995</v>
      </c>
      <c r="E49">
        <v>31778.51</v>
      </c>
      <c r="F49">
        <v>31778.51</v>
      </c>
      <c r="G49" s="5" t="s">
        <v>176</v>
      </c>
      <c r="H49">
        <v>1</v>
      </c>
      <c r="I49">
        <v>1</v>
      </c>
      <c r="J49">
        <v>1</v>
      </c>
      <c r="K49">
        <v>8</v>
      </c>
      <c r="L49">
        <v>9</v>
      </c>
      <c r="M49">
        <v>20250401</v>
      </c>
    </row>
    <row r="50" spans="1:13" x14ac:dyDescent="0.25">
      <c r="A50">
        <v>49</v>
      </c>
      <c r="B50">
        <v>8</v>
      </c>
      <c r="C50">
        <v>1323758.44</v>
      </c>
      <c r="D50">
        <v>661879.22</v>
      </c>
      <c r="E50">
        <v>39712.754999999997</v>
      </c>
      <c r="F50">
        <v>79425.509999999995</v>
      </c>
      <c r="G50" s="5" t="s">
        <v>176</v>
      </c>
      <c r="H50">
        <v>2</v>
      </c>
      <c r="I50">
        <v>2</v>
      </c>
      <c r="J50">
        <v>9</v>
      </c>
      <c r="K50">
        <v>3</v>
      </c>
      <c r="L50">
        <v>1</v>
      </c>
      <c r="M50">
        <v>20250405</v>
      </c>
    </row>
    <row r="51" spans="1:13" x14ac:dyDescent="0.25">
      <c r="A51">
        <v>50</v>
      </c>
      <c r="B51">
        <v>8</v>
      </c>
      <c r="C51">
        <v>1323758.44</v>
      </c>
      <c r="D51">
        <v>661879.22</v>
      </c>
      <c r="E51">
        <v>39712.754999999997</v>
      </c>
      <c r="F51">
        <v>79425.509999999995</v>
      </c>
      <c r="G51" s="5" t="s">
        <v>176</v>
      </c>
      <c r="H51">
        <v>2</v>
      </c>
      <c r="I51">
        <v>2</v>
      </c>
      <c r="J51">
        <v>9</v>
      </c>
      <c r="K51">
        <v>3</v>
      </c>
      <c r="L51">
        <v>19</v>
      </c>
      <c r="M51">
        <v>20250405</v>
      </c>
    </row>
    <row r="52" spans="1:13" x14ac:dyDescent="0.25">
      <c r="A52">
        <v>51</v>
      </c>
      <c r="B52">
        <v>9</v>
      </c>
      <c r="C52">
        <v>1385339.68</v>
      </c>
      <c r="D52">
        <v>1385339.68</v>
      </c>
      <c r="E52">
        <v>83120.38</v>
      </c>
      <c r="F52">
        <v>83120.38</v>
      </c>
      <c r="G52" s="5" t="s">
        <v>176</v>
      </c>
      <c r="H52">
        <v>2</v>
      </c>
      <c r="I52">
        <v>1</v>
      </c>
      <c r="J52">
        <v>1</v>
      </c>
      <c r="K52">
        <v>7</v>
      </c>
      <c r="L52">
        <v>26</v>
      </c>
      <c r="M52">
        <v>20250410</v>
      </c>
    </row>
    <row r="53" spans="1:13" x14ac:dyDescent="0.25">
      <c r="A53">
        <v>52</v>
      </c>
      <c r="B53">
        <v>10</v>
      </c>
      <c r="C53">
        <v>422204.21</v>
      </c>
      <c r="D53">
        <v>422204.21</v>
      </c>
      <c r="E53">
        <v>25332.25</v>
      </c>
      <c r="F53">
        <v>25332.25</v>
      </c>
      <c r="G53" s="5" t="s">
        <v>176</v>
      </c>
      <c r="H53">
        <v>1</v>
      </c>
      <c r="I53">
        <v>1</v>
      </c>
      <c r="J53">
        <v>6</v>
      </c>
      <c r="K53">
        <v>27</v>
      </c>
      <c r="L53">
        <v>26</v>
      </c>
      <c r="M53">
        <v>20250415</v>
      </c>
    </row>
    <row r="54" spans="1:13" x14ac:dyDescent="0.25">
      <c r="A54">
        <v>53</v>
      </c>
      <c r="B54">
        <v>11</v>
      </c>
      <c r="C54">
        <v>942104.83</v>
      </c>
      <c r="D54">
        <v>471052.41499999998</v>
      </c>
      <c r="E54">
        <v>28263.145</v>
      </c>
      <c r="F54">
        <v>56526.29</v>
      </c>
      <c r="G54" s="5" t="s">
        <v>176</v>
      </c>
      <c r="H54">
        <v>1</v>
      </c>
      <c r="I54">
        <v>2</v>
      </c>
      <c r="J54">
        <v>4</v>
      </c>
      <c r="K54">
        <v>2</v>
      </c>
      <c r="L54">
        <v>22</v>
      </c>
      <c r="M54">
        <v>20250420</v>
      </c>
    </row>
    <row r="55" spans="1:13" x14ac:dyDescent="0.25">
      <c r="A55">
        <v>54</v>
      </c>
      <c r="B55">
        <v>11</v>
      </c>
      <c r="C55">
        <v>942104.83</v>
      </c>
      <c r="D55">
        <v>471052.41499999998</v>
      </c>
      <c r="E55">
        <v>28263.145</v>
      </c>
      <c r="F55">
        <v>56526.29</v>
      </c>
      <c r="G55" s="5" t="s">
        <v>176</v>
      </c>
      <c r="H55">
        <v>1</v>
      </c>
      <c r="I55">
        <v>2</v>
      </c>
      <c r="J55">
        <v>4</v>
      </c>
      <c r="K55">
        <v>2</v>
      </c>
      <c r="L55">
        <v>24</v>
      </c>
      <c r="M55">
        <v>20250420</v>
      </c>
    </row>
    <row r="56" spans="1:13" x14ac:dyDescent="0.25">
      <c r="A56">
        <v>55</v>
      </c>
      <c r="B56">
        <v>12</v>
      </c>
      <c r="C56">
        <v>1176950.06</v>
      </c>
      <c r="D56">
        <v>1176950.06</v>
      </c>
      <c r="E56">
        <v>70617</v>
      </c>
      <c r="F56">
        <v>70617</v>
      </c>
      <c r="G56" s="5" t="s">
        <v>176</v>
      </c>
      <c r="H56">
        <v>1</v>
      </c>
      <c r="I56">
        <v>1</v>
      </c>
      <c r="J56">
        <v>2</v>
      </c>
      <c r="K56">
        <v>19</v>
      </c>
      <c r="L56">
        <v>1</v>
      </c>
      <c r="M56">
        <v>20250425</v>
      </c>
    </row>
    <row r="57" spans="1:13" x14ac:dyDescent="0.25">
      <c r="A57">
        <v>56</v>
      </c>
      <c r="B57">
        <v>13</v>
      </c>
      <c r="C57">
        <v>1245896.04</v>
      </c>
      <c r="D57">
        <v>1245896.04</v>
      </c>
      <c r="E57">
        <v>74753.759999999995</v>
      </c>
      <c r="F57">
        <v>74753.759999999995</v>
      </c>
      <c r="G57" s="5" t="s">
        <v>176</v>
      </c>
      <c r="H57">
        <v>1</v>
      </c>
      <c r="I57">
        <v>1</v>
      </c>
      <c r="J57">
        <v>1</v>
      </c>
      <c r="K57">
        <v>24</v>
      </c>
      <c r="L57">
        <v>14</v>
      </c>
      <c r="M57">
        <v>20250501</v>
      </c>
    </row>
    <row r="58" spans="1:13" x14ac:dyDescent="0.25">
      <c r="A58">
        <v>57</v>
      </c>
      <c r="B58">
        <v>14</v>
      </c>
      <c r="C58">
        <v>815393.11</v>
      </c>
      <c r="D58">
        <v>815393.11</v>
      </c>
      <c r="E58">
        <v>48923.59</v>
      </c>
      <c r="F58">
        <v>48923.59</v>
      </c>
      <c r="G58" s="5" t="s">
        <v>176</v>
      </c>
      <c r="H58">
        <v>2</v>
      </c>
      <c r="I58">
        <v>1</v>
      </c>
      <c r="J58">
        <v>1</v>
      </c>
      <c r="K58">
        <v>29</v>
      </c>
      <c r="L58">
        <v>20</v>
      </c>
      <c r="M58">
        <v>20250505</v>
      </c>
    </row>
    <row r="59" spans="1:13" x14ac:dyDescent="0.25">
      <c r="A59">
        <v>58</v>
      </c>
      <c r="B59">
        <v>15</v>
      </c>
      <c r="C59">
        <v>1429840.26</v>
      </c>
      <c r="D59">
        <v>1429840.26</v>
      </c>
      <c r="E59">
        <v>85790.42</v>
      </c>
      <c r="F59">
        <v>85790.42</v>
      </c>
      <c r="G59" s="5" t="s">
        <v>176</v>
      </c>
      <c r="H59">
        <v>1</v>
      </c>
      <c r="I59">
        <v>1</v>
      </c>
      <c r="J59">
        <v>4</v>
      </c>
      <c r="K59">
        <v>18</v>
      </c>
      <c r="L59">
        <v>17</v>
      </c>
      <c r="M59">
        <v>20250510</v>
      </c>
    </row>
    <row r="60" spans="1:13" x14ac:dyDescent="0.25">
      <c r="A60">
        <v>59</v>
      </c>
      <c r="B60">
        <v>16</v>
      </c>
      <c r="C60">
        <v>775961.71</v>
      </c>
      <c r="D60">
        <v>775961.71</v>
      </c>
      <c r="E60">
        <v>46557.7</v>
      </c>
      <c r="F60">
        <v>46557.7</v>
      </c>
      <c r="G60" s="5" t="s">
        <v>176</v>
      </c>
      <c r="H60">
        <v>1</v>
      </c>
      <c r="I60">
        <v>1</v>
      </c>
      <c r="J60">
        <v>4</v>
      </c>
      <c r="K60">
        <v>20</v>
      </c>
      <c r="L60">
        <v>18</v>
      </c>
      <c r="M60">
        <v>20250515</v>
      </c>
    </row>
    <row r="61" spans="1:13" x14ac:dyDescent="0.25">
      <c r="A61">
        <v>60</v>
      </c>
      <c r="B61">
        <v>17</v>
      </c>
      <c r="C61">
        <v>395691.29</v>
      </c>
      <c r="D61">
        <v>395691.29</v>
      </c>
      <c r="E61">
        <v>23741.48</v>
      </c>
      <c r="F61">
        <v>23741.48</v>
      </c>
      <c r="G61" s="5" t="s">
        <v>176</v>
      </c>
      <c r="H61">
        <v>1</v>
      </c>
      <c r="I61">
        <v>1</v>
      </c>
      <c r="J61">
        <v>1</v>
      </c>
      <c r="K61">
        <v>5</v>
      </c>
      <c r="L61">
        <v>15</v>
      </c>
      <c r="M61">
        <v>20250520</v>
      </c>
    </row>
    <row r="62" spans="1:13" x14ac:dyDescent="0.25">
      <c r="A62">
        <v>61</v>
      </c>
      <c r="B62">
        <v>18</v>
      </c>
      <c r="C62">
        <v>1186514.26</v>
      </c>
      <c r="D62">
        <v>1186514.26</v>
      </c>
      <c r="E62">
        <v>71190.86</v>
      </c>
      <c r="F62">
        <v>71190.86</v>
      </c>
      <c r="G62" s="5" t="s">
        <v>176</v>
      </c>
      <c r="H62">
        <v>1</v>
      </c>
      <c r="I62">
        <v>1</v>
      </c>
      <c r="J62">
        <v>10</v>
      </c>
      <c r="K62">
        <v>15</v>
      </c>
      <c r="L62">
        <v>8</v>
      </c>
      <c r="M62">
        <v>20250525</v>
      </c>
    </row>
    <row r="63" spans="1:13" x14ac:dyDescent="0.25">
      <c r="A63">
        <v>62</v>
      </c>
      <c r="B63">
        <v>19</v>
      </c>
      <c r="C63">
        <v>482343.45</v>
      </c>
      <c r="D63">
        <v>241171.72500000001</v>
      </c>
      <c r="E63">
        <v>14470.305</v>
      </c>
      <c r="F63">
        <v>28940.61</v>
      </c>
      <c r="G63" s="5" t="s">
        <v>176</v>
      </c>
      <c r="H63">
        <v>1</v>
      </c>
      <c r="I63">
        <v>2</v>
      </c>
      <c r="J63">
        <v>3</v>
      </c>
      <c r="K63">
        <v>6</v>
      </c>
      <c r="L63">
        <v>4</v>
      </c>
      <c r="M63">
        <v>20250601</v>
      </c>
    </row>
    <row r="64" spans="1:13" x14ac:dyDescent="0.25">
      <c r="A64">
        <v>63</v>
      </c>
      <c r="B64">
        <v>19</v>
      </c>
      <c r="C64">
        <v>482343.45</v>
      </c>
      <c r="D64">
        <v>241171.72500000001</v>
      </c>
      <c r="E64">
        <v>14470.305</v>
      </c>
      <c r="F64">
        <v>28940.61</v>
      </c>
      <c r="G64" s="5" t="s">
        <v>176</v>
      </c>
      <c r="H64">
        <v>1</v>
      </c>
      <c r="I64">
        <v>2</v>
      </c>
      <c r="J64">
        <v>3</v>
      </c>
      <c r="K64">
        <v>6</v>
      </c>
      <c r="L64">
        <v>12</v>
      </c>
      <c r="M64">
        <v>20250601</v>
      </c>
    </row>
    <row r="65" spans="1:13" x14ac:dyDescent="0.25">
      <c r="A65">
        <v>64</v>
      </c>
      <c r="B65">
        <v>20</v>
      </c>
      <c r="C65">
        <v>246776.59</v>
      </c>
      <c r="D65">
        <v>123388.295</v>
      </c>
      <c r="E65">
        <v>7403.3</v>
      </c>
      <c r="F65">
        <v>14806.6</v>
      </c>
      <c r="G65" s="5" t="s">
        <v>176</v>
      </c>
      <c r="H65">
        <v>2</v>
      </c>
      <c r="I65">
        <v>2</v>
      </c>
      <c r="J65">
        <v>4</v>
      </c>
      <c r="K65">
        <v>28</v>
      </c>
      <c r="L65">
        <v>6</v>
      </c>
      <c r="M65">
        <v>20250605</v>
      </c>
    </row>
    <row r="66" spans="1:13" x14ac:dyDescent="0.25">
      <c r="A66">
        <v>65</v>
      </c>
      <c r="B66">
        <v>20</v>
      </c>
      <c r="C66">
        <v>246776.59</v>
      </c>
      <c r="D66">
        <v>123388.295</v>
      </c>
      <c r="E66">
        <v>7403.3</v>
      </c>
      <c r="F66">
        <v>14806.6</v>
      </c>
      <c r="G66" s="5" t="s">
        <v>176</v>
      </c>
      <c r="H66">
        <v>2</v>
      </c>
      <c r="I66">
        <v>2</v>
      </c>
      <c r="J66">
        <v>4</v>
      </c>
      <c r="K66">
        <v>28</v>
      </c>
      <c r="L66">
        <v>7</v>
      </c>
      <c r="M66">
        <v>20250605</v>
      </c>
    </row>
    <row r="67" spans="1:13" x14ac:dyDescent="0.25">
      <c r="A67">
        <v>66</v>
      </c>
      <c r="B67">
        <v>21</v>
      </c>
      <c r="C67">
        <v>508226.36</v>
      </c>
      <c r="D67">
        <v>254113.18</v>
      </c>
      <c r="E67">
        <v>15246.79</v>
      </c>
      <c r="F67">
        <v>30493.58</v>
      </c>
      <c r="G67" s="5" t="s">
        <v>176</v>
      </c>
      <c r="H67">
        <v>1</v>
      </c>
      <c r="I67">
        <v>2</v>
      </c>
      <c r="J67">
        <v>3</v>
      </c>
      <c r="K67">
        <v>26</v>
      </c>
      <c r="L67">
        <v>9</v>
      </c>
      <c r="M67">
        <v>20250610</v>
      </c>
    </row>
    <row r="68" spans="1:13" x14ac:dyDescent="0.25">
      <c r="A68">
        <v>67</v>
      </c>
      <c r="B68">
        <v>21</v>
      </c>
      <c r="C68">
        <v>508226.36</v>
      </c>
      <c r="D68">
        <v>254113.18</v>
      </c>
      <c r="E68">
        <v>15246.79</v>
      </c>
      <c r="F68">
        <v>30493.58</v>
      </c>
      <c r="G68" s="5" t="s">
        <v>176</v>
      </c>
      <c r="H68">
        <v>1</v>
      </c>
      <c r="I68">
        <v>2</v>
      </c>
      <c r="J68">
        <v>3</v>
      </c>
      <c r="K68">
        <v>26</v>
      </c>
      <c r="L68">
        <v>25</v>
      </c>
      <c r="M68">
        <v>20250610</v>
      </c>
    </row>
    <row r="69" spans="1:13" x14ac:dyDescent="0.25">
      <c r="A69">
        <v>68</v>
      </c>
      <c r="B69">
        <v>22</v>
      </c>
      <c r="C69">
        <v>1314718.73</v>
      </c>
      <c r="D69">
        <v>657359.36499999999</v>
      </c>
      <c r="E69">
        <v>39441.56</v>
      </c>
      <c r="F69">
        <v>78883.12</v>
      </c>
      <c r="G69" s="5" t="s">
        <v>176</v>
      </c>
      <c r="H69">
        <v>2</v>
      </c>
      <c r="I69">
        <v>2</v>
      </c>
      <c r="J69">
        <v>8</v>
      </c>
      <c r="K69">
        <v>22</v>
      </c>
      <c r="L69">
        <v>4</v>
      </c>
      <c r="M69">
        <v>20250615</v>
      </c>
    </row>
    <row r="70" spans="1:13" x14ac:dyDescent="0.25">
      <c r="A70">
        <v>69</v>
      </c>
      <c r="B70">
        <v>22</v>
      </c>
      <c r="C70">
        <v>1314718.73</v>
      </c>
      <c r="D70">
        <v>657359.36499999999</v>
      </c>
      <c r="E70">
        <v>39441.56</v>
      </c>
      <c r="F70">
        <v>78883.12</v>
      </c>
      <c r="G70" s="5" t="s">
        <v>176</v>
      </c>
      <c r="H70">
        <v>2</v>
      </c>
      <c r="I70">
        <v>2</v>
      </c>
      <c r="J70">
        <v>8</v>
      </c>
      <c r="K70">
        <v>22</v>
      </c>
      <c r="L70">
        <v>29</v>
      </c>
      <c r="M70">
        <v>20250615</v>
      </c>
    </row>
    <row r="71" spans="1:13" x14ac:dyDescent="0.25">
      <c r="A71">
        <v>70</v>
      </c>
      <c r="B71">
        <v>23</v>
      </c>
      <c r="C71">
        <v>687892.85</v>
      </c>
      <c r="D71">
        <v>687892.85</v>
      </c>
      <c r="E71">
        <v>41273.57</v>
      </c>
      <c r="F71">
        <v>41273.57</v>
      </c>
      <c r="G71" s="5" t="s">
        <v>176</v>
      </c>
      <c r="H71">
        <v>1</v>
      </c>
      <c r="I71">
        <v>1</v>
      </c>
      <c r="J71">
        <v>2</v>
      </c>
      <c r="K71">
        <v>11</v>
      </c>
      <c r="L71">
        <v>13</v>
      </c>
      <c r="M71">
        <v>20250620</v>
      </c>
    </row>
    <row r="72" spans="1:13" x14ac:dyDescent="0.25">
      <c r="A72">
        <v>71</v>
      </c>
      <c r="B72">
        <v>24</v>
      </c>
      <c r="C72">
        <v>567420.17000000004</v>
      </c>
      <c r="D72">
        <v>567420.17000000004</v>
      </c>
      <c r="E72">
        <v>34045.21</v>
      </c>
      <c r="F72">
        <v>34045.21</v>
      </c>
      <c r="G72" s="5" t="s">
        <v>176</v>
      </c>
      <c r="H72">
        <v>1</v>
      </c>
      <c r="I72">
        <v>1</v>
      </c>
      <c r="J72">
        <v>10</v>
      </c>
      <c r="K72">
        <v>13</v>
      </c>
      <c r="L72">
        <v>24</v>
      </c>
      <c r="M72">
        <v>20250625</v>
      </c>
    </row>
    <row r="73" spans="1:13" x14ac:dyDescent="0.25">
      <c r="A73">
        <v>72</v>
      </c>
      <c r="B73">
        <v>25</v>
      </c>
      <c r="C73">
        <v>1365126.21</v>
      </c>
      <c r="D73">
        <v>1365126.21</v>
      </c>
      <c r="E73">
        <v>81907.570000000007</v>
      </c>
      <c r="F73">
        <v>81907.570000000007</v>
      </c>
      <c r="G73" s="5" t="s">
        <v>176</v>
      </c>
      <c r="H73">
        <v>2</v>
      </c>
      <c r="I73">
        <v>1</v>
      </c>
      <c r="J73">
        <v>4</v>
      </c>
      <c r="K73">
        <v>9</v>
      </c>
      <c r="L73">
        <v>3</v>
      </c>
      <c r="M73">
        <v>20250715</v>
      </c>
    </row>
    <row r="74" spans="1:13" x14ac:dyDescent="0.25">
      <c r="A74">
        <v>73</v>
      </c>
      <c r="B74">
        <v>26</v>
      </c>
      <c r="C74">
        <v>1365126.21</v>
      </c>
      <c r="D74">
        <v>1365126.21</v>
      </c>
      <c r="E74">
        <v>81907.570000000007</v>
      </c>
      <c r="F74">
        <v>81907.570000000007</v>
      </c>
      <c r="G74" s="5" t="s">
        <v>176</v>
      </c>
      <c r="H74">
        <v>2</v>
      </c>
      <c r="I74">
        <v>1</v>
      </c>
      <c r="J74">
        <v>8</v>
      </c>
      <c r="K74">
        <v>9</v>
      </c>
      <c r="L74">
        <v>22</v>
      </c>
      <c r="M74">
        <v>20250715</v>
      </c>
    </row>
    <row r="75" spans="1:13" x14ac:dyDescent="0.25">
      <c r="A75">
        <v>74</v>
      </c>
      <c r="B75">
        <v>27</v>
      </c>
      <c r="C75">
        <v>462792.59</v>
      </c>
      <c r="D75">
        <v>462792.59</v>
      </c>
      <c r="E75">
        <v>27767.56</v>
      </c>
      <c r="F75">
        <v>27767.56</v>
      </c>
      <c r="G75" s="5" t="s">
        <v>176</v>
      </c>
      <c r="H75">
        <v>1</v>
      </c>
      <c r="I75">
        <v>1</v>
      </c>
      <c r="J75">
        <v>5</v>
      </c>
      <c r="K75">
        <v>23</v>
      </c>
      <c r="L75">
        <v>1</v>
      </c>
      <c r="M75">
        <v>20250830</v>
      </c>
    </row>
    <row r="76" spans="1:13" x14ac:dyDescent="0.25">
      <c r="A76">
        <v>75</v>
      </c>
      <c r="B76">
        <v>28</v>
      </c>
      <c r="C76">
        <v>1185790.1000000001</v>
      </c>
      <c r="D76">
        <v>1185790.1000000001</v>
      </c>
      <c r="E76">
        <v>71147.41</v>
      </c>
      <c r="F76">
        <v>71147.41</v>
      </c>
      <c r="G76" s="5" t="s">
        <v>176</v>
      </c>
      <c r="H76">
        <v>2</v>
      </c>
      <c r="I76">
        <v>1</v>
      </c>
      <c r="J76">
        <v>6</v>
      </c>
      <c r="K76">
        <v>14</v>
      </c>
      <c r="L76">
        <v>11</v>
      </c>
      <c r="M76">
        <v>20250830</v>
      </c>
    </row>
    <row r="77" spans="1:13" x14ac:dyDescent="0.25">
      <c r="A77">
        <v>76</v>
      </c>
      <c r="B77">
        <v>29</v>
      </c>
      <c r="C77">
        <v>293062.56</v>
      </c>
      <c r="D77">
        <v>293062.56</v>
      </c>
      <c r="E77">
        <v>17583.75</v>
      </c>
      <c r="F77">
        <v>17583.75</v>
      </c>
      <c r="G77" s="5" t="s">
        <v>176</v>
      </c>
      <c r="H77">
        <v>1</v>
      </c>
      <c r="I77">
        <v>1</v>
      </c>
      <c r="J77">
        <v>3</v>
      </c>
      <c r="K77">
        <v>17</v>
      </c>
      <c r="L77">
        <v>29</v>
      </c>
      <c r="M77">
        <v>20250830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8A99-5AE4-4BBA-9718-0C3F43F22224}">
  <dimension ref="A1:G31"/>
  <sheetViews>
    <sheetView workbookViewId="0">
      <selection sqref="A1:G31"/>
    </sheetView>
  </sheetViews>
  <sheetFormatPr defaultRowHeight="15" x14ac:dyDescent="0.25"/>
  <cols>
    <col min="1" max="1" width="7.7109375" bestFit="1" customWidth="1"/>
    <col min="2" max="2" width="12" bestFit="1" customWidth="1"/>
    <col min="3" max="3" width="10.85546875" bestFit="1" customWidth="1"/>
    <col min="4" max="4" width="16.140625" bestFit="1" customWidth="1"/>
    <col min="5" max="5" width="15.5703125" bestFit="1" customWidth="1"/>
    <col min="6" max="6" width="11.42578125" bestFit="1" customWidth="1"/>
    <col min="7" max="7" width="12.5703125" bestFit="1" customWidth="1"/>
  </cols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>
        <v>1</v>
      </c>
      <c r="B2">
        <v>11111111129</v>
      </c>
      <c r="C2" s="5" t="s">
        <v>15</v>
      </c>
      <c r="D2" s="5" t="s">
        <v>16</v>
      </c>
      <c r="E2" s="6">
        <v>46279.542147646607</v>
      </c>
      <c r="F2" s="5" t="s">
        <v>17</v>
      </c>
      <c r="G2" s="5" t="s">
        <v>18</v>
      </c>
    </row>
    <row r="3" spans="1:7" x14ac:dyDescent="0.25">
      <c r="A3">
        <v>2</v>
      </c>
      <c r="B3">
        <v>11111111130</v>
      </c>
      <c r="C3" s="5" t="s">
        <v>19</v>
      </c>
      <c r="D3" s="5" t="s">
        <v>20</v>
      </c>
      <c r="E3" s="6">
        <v>46279.542147646607</v>
      </c>
      <c r="F3" s="5" t="s">
        <v>17</v>
      </c>
      <c r="G3" s="5" t="s">
        <v>18</v>
      </c>
    </row>
    <row r="4" spans="1:7" x14ac:dyDescent="0.25">
      <c r="A4">
        <v>3</v>
      </c>
      <c r="B4">
        <v>11111111131</v>
      </c>
      <c r="C4" s="5" t="s">
        <v>21</v>
      </c>
      <c r="D4" s="5" t="s">
        <v>22</v>
      </c>
      <c r="E4" s="6">
        <v>46279.542147646607</v>
      </c>
      <c r="F4" s="5" t="s">
        <v>17</v>
      </c>
      <c r="G4" s="5" t="s">
        <v>18</v>
      </c>
    </row>
    <row r="5" spans="1:7" x14ac:dyDescent="0.25">
      <c r="A5">
        <v>4</v>
      </c>
      <c r="B5">
        <v>11111111132</v>
      </c>
      <c r="C5" s="5" t="s">
        <v>23</v>
      </c>
      <c r="D5" s="5" t="s">
        <v>24</v>
      </c>
      <c r="E5" s="6">
        <v>46279.542147646607</v>
      </c>
      <c r="F5" s="5" t="s">
        <v>17</v>
      </c>
      <c r="G5" s="5" t="s">
        <v>18</v>
      </c>
    </row>
    <row r="6" spans="1:7" x14ac:dyDescent="0.25">
      <c r="A6">
        <v>5</v>
      </c>
      <c r="B6">
        <v>11111111133</v>
      </c>
      <c r="C6" s="5" t="s">
        <v>25</v>
      </c>
      <c r="D6" s="5" t="s">
        <v>26</v>
      </c>
      <c r="E6" s="6">
        <v>46279.542147646607</v>
      </c>
      <c r="F6" s="5" t="s">
        <v>17</v>
      </c>
      <c r="G6" s="5" t="s">
        <v>18</v>
      </c>
    </row>
    <row r="7" spans="1:7" x14ac:dyDescent="0.25">
      <c r="A7">
        <v>6</v>
      </c>
      <c r="B7">
        <v>11111111134</v>
      </c>
      <c r="C7" s="5" t="s">
        <v>27</v>
      </c>
      <c r="D7" s="5" t="s">
        <v>28</v>
      </c>
      <c r="E7" s="6">
        <v>46279.542147646607</v>
      </c>
      <c r="F7" s="5" t="s">
        <v>17</v>
      </c>
      <c r="G7" s="5" t="s">
        <v>18</v>
      </c>
    </row>
    <row r="8" spans="1:7" x14ac:dyDescent="0.25">
      <c r="A8">
        <v>7</v>
      </c>
      <c r="B8">
        <v>11111111135</v>
      </c>
      <c r="C8" s="5" t="s">
        <v>29</v>
      </c>
      <c r="D8" s="5" t="s">
        <v>30</v>
      </c>
      <c r="E8" s="6">
        <v>46279.542147646607</v>
      </c>
      <c r="F8" s="5" t="s">
        <v>17</v>
      </c>
      <c r="G8" s="5" t="s">
        <v>18</v>
      </c>
    </row>
    <row r="9" spans="1:7" x14ac:dyDescent="0.25">
      <c r="A9">
        <v>8</v>
      </c>
      <c r="B9">
        <v>11111111136</v>
      </c>
      <c r="C9" s="5" t="s">
        <v>31</v>
      </c>
      <c r="D9" s="5" t="s">
        <v>32</v>
      </c>
      <c r="E9" s="6">
        <v>46279.542147646607</v>
      </c>
      <c r="F9" s="5" t="s">
        <v>17</v>
      </c>
      <c r="G9" s="5" t="s">
        <v>18</v>
      </c>
    </row>
    <row r="10" spans="1:7" x14ac:dyDescent="0.25">
      <c r="A10">
        <v>9</v>
      </c>
      <c r="B10">
        <v>11111111137</v>
      </c>
      <c r="C10" s="5" t="s">
        <v>33</v>
      </c>
      <c r="D10" s="5" t="s">
        <v>34</v>
      </c>
      <c r="E10" s="6">
        <v>46279.542147646607</v>
      </c>
      <c r="F10" s="5" t="s">
        <v>17</v>
      </c>
      <c r="G10" s="5" t="s">
        <v>18</v>
      </c>
    </row>
    <row r="11" spans="1:7" x14ac:dyDescent="0.25">
      <c r="A11">
        <v>10</v>
      </c>
      <c r="B11">
        <v>11111111138</v>
      </c>
      <c r="C11" s="5" t="s">
        <v>35</v>
      </c>
      <c r="D11" s="5" t="s">
        <v>36</v>
      </c>
      <c r="E11" s="6">
        <v>46279.542147646607</v>
      </c>
      <c r="F11" s="5" t="s">
        <v>17</v>
      </c>
      <c r="G11" s="5" t="s">
        <v>18</v>
      </c>
    </row>
    <row r="12" spans="1:7" x14ac:dyDescent="0.25">
      <c r="A12">
        <v>11</v>
      </c>
      <c r="B12">
        <v>11111111139</v>
      </c>
      <c r="C12" s="5" t="s">
        <v>37</v>
      </c>
      <c r="D12" s="5" t="s">
        <v>38</v>
      </c>
      <c r="E12" s="6">
        <v>46279.542147646607</v>
      </c>
      <c r="F12" s="5" t="s">
        <v>17</v>
      </c>
      <c r="G12" s="5" t="s">
        <v>18</v>
      </c>
    </row>
    <row r="13" spans="1:7" x14ac:dyDescent="0.25">
      <c r="A13">
        <v>12</v>
      </c>
      <c r="B13">
        <v>11111111140</v>
      </c>
      <c r="C13" s="5" t="s">
        <v>39</v>
      </c>
      <c r="D13" s="5" t="s">
        <v>40</v>
      </c>
      <c r="E13" s="6">
        <v>46279.542147646607</v>
      </c>
      <c r="F13" s="5" t="s">
        <v>17</v>
      </c>
      <c r="G13" s="5" t="s">
        <v>18</v>
      </c>
    </row>
    <row r="14" spans="1:7" x14ac:dyDescent="0.25">
      <c r="A14">
        <v>13</v>
      </c>
      <c r="B14">
        <v>11111111141</v>
      </c>
      <c r="C14" s="5" t="s">
        <v>41</v>
      </c>
      <c r="D14" s="5" t="s">
        <v>42</v>
      </c>
      <c r="E14" s="6">
        <v>46279.542147646607</v>
      </c>
      <c r="F14" s="5" t="s">
        <v>17</v>
      </c>
      <c r="G14" s="5" t="s">
        <v>18</v>
      </c>
    </row>
    <row r="15" spans="1:7" x14ac:dyDescent="0.25">
      <c r="A15">
        <v>14</v>
      </c>
      <c r="B15">
        <v>11111111142</v>
      </c>
      <c r="C15" s="5" t="s">
        <v>43</v>
      </c>
      <c r="D15" s="5" t="s">
        <v>44</v>
      </c>
      <c r="E15" s="6">
        <v>46279.542147646607</v>
      </c>
      <c r="F15" s="5" t="s">
        <v>17</v>
      </c>
      <c r="G15" s="5" t="s">
        <v>18</v>
      </c>
    </row>
    <row r="16" spans="1:7" x14ac:dyDescent="0.25">
      <c r="A16">
        <v>15</v>
      </c>
      <c r="B16">
        <v>11111111143</v>
      </c>
      <c r="C16" s="5" t="s">
        <v>45</v>
      </c>
      <c r="D16" s="5" t="s">
        <v>46</v>
      </c>
      <c r="E16" s="6">
        <v>46279.542147646607</v>
      </c>
      <c r="F16" s="5" t="s">
        <v>17</v>
      </c>
      <c r="G16" s="5" t="s">
        <v>18</v>
      </c>
    </row>
    <row r="17" spans="1:7" x14ac:dyDescent="0.25">
      <c r="A17">
        <v>16</v>
      </c>
      <c r="B17">
        <v>11111111144</v>
      </c>
      <c r="C17" s="5" t="s">
        <v>47</v>
      </c>
      <c r="D17" s="5" t="s">
        <v>48</v>
      </c>
      <c r="E17" s="6">
        <v>46279.542147646607</v>
      </c>
      <c r="F17" s="5" t="s">
        <v>17</v>
      </c>
      <c r="G17" s="5" t="s">
        <v>18</v>
      </c>
    </row>
    <row r="18" spans="1:7" x14ac:dyDescent="0.25">
      <c r="A18">
        <v>17</v>
      </c>
      <c r="B18">
        <v>11111111145</v>
      </c>
      <c r="C18" s="5" t="s">
        <v>49</v>
      </c>
      <c r="D18" s="5" t="s">
        <v>50</v>
      </c>
      <c r="E18" s="6">
        <v>46279.542147646607</v>
      </c>
      <c r="F18" s="5" t="s">
        <v>17</v>
      </c>
      <c r="G18" s="5" t="s">
        <v>18</v>
      </c>
    </row>
    <row r="19" spans="1:7" x14ac:dyDescent="0.25">
      <c r="A19">
        <v>18</v>
      </c>
      <c r="B19">
        <v>11111111146</v>
      </c>
      <c r="C19" s="5" t="s">
        <v>51</v>
      </c>
      <c r="D19" s="5" t="s">
        <v>52</v>
      </c>
      <c r="E19" s="6">
        <v>46279.542147646607</v>
      </c>
      <c r="F19" s="5" t="s">
        <v>17</v>
      </c>
      <c r="G19" s="5" t="s">
        <v>18</v>
      </c>
    </row>
    <row r="20" spans="1:7" x14ac:dyDescent="0.25">
      <c r="A20">
        <v>19</v>
      </c>
      <c r="B20">
        <v>11111111147</v>
      </c>
      <c r="C20" s="5" t="s">
        <v>53</v>
      </c>
      <c r="D20" s="5" t="s">
        <v>54</v>
      </c>
      <c r="E20" s="6">
        <v>46279.542147646607</v>
      </c>
      <c r="F20" s="5" t="s">
        <v>17</v>
      </c>
      <c r="G20" s="5" t="s">
        <v>18</v>
      </c>
    </row>
    <row r="21" spans="1:7" x14ac:dyDescent="0.25">
      <c r="A21">
        <v>20</v>
      </c>
      <c r="B21">
        <v>11111111148</v>
      </c>
      <c r="C21" s="5" t="s">
        <v>55</v>
      </c>
      <c r="D21" s="5" t="s">
        <v>56</v>
      </c>
      <c r="E21" s="6">
        <v>46279.542147646607</v>
      </c>
      <c r="F21" s="5" t="s">
        <v>17</v>
      </c>
      <c r="G21" s="5" t="s">
        <v>18</v>
      </c>
    </row>
    <row r="22" spans="1:7" x14ac:dyDescent="0.25">
      <c r="A22">
        <v>21</v>
      </c>
      <c r="B22">
        <v>11111111149</v>
      </c>
      <c r="C22" s="5" t="s">
        <v>57</v>
      </c>
      <c r="D22" s="5" t="s">
        <v>58</v>
      </c>
      <c r="E22" s="6">
        <v>46279.542147646607</v>
      </c>
      <c r="F22" s="5" t="s">
        <v>17</v>
      </c>
      <c r="G22" s="5" t="s">
        <v>18</v>
      </c>
    </row>
    <row r="23" spans="1:7" x14ac:dyDescent="0.25">
      <c r="A23">
        <v>22</v>
      </c>
      <c r="B23">
        <v>11111111150</v>
      </c>
      <c r="C23" s="5" t="s">
        <v>59</v>
      </c>
      <c r="D23" s="5" t="s">
        <v>60</v>
      </c>
      <c r="E23" s="6">
        <v>46279.542147646607</v>
      </c>
      <c r="F23" s="5" t="s">
        <v>17</v>
      </c>
      <c r="G23" s="5" t="s">
        <v>18</v>
      </c>
    </row>
    <row r="24" spans="1:7" x14ac:dyDescent="0.25">
      <c r="A24">
        <v>23</v>
      </c>
      <c r="B24">
        <v>11111111151</v>
      </c>
      <c r="C24" s="5" t="s">
        <v>61</v>
      </c>
      <c r="D24" s="5" t="s">
        <v>62</v>
      </c>
      <c r="E24" s="6">
        <v>46279.542147646607</v>
      </c>
      <c r="F24" s="5" t="s">
        <v>17</v>
      </c>
      <c r="G24" s="5" t="s">
        <v>18</v>
      </c>
    </row>
    <row r="25" spans="1:7" x14ac:dyDescent="0.25">
      <c r="A25">
        <v>24</v>
      </c>
      <c r="B25">
        <v>11111111152</v>
      </c>
      <c r="C25" s="5" t="s">
        <v>63</v>
      </c>
      <c r="D25" s="5" t="s">
        <v>64</v>
      </c>
      <c r="E25" s="6">
        <v>46279.542147646607</v>
      </c>
      <c r="F25" s="5" t="s">
        <v>17</v>
      </c>
      <c r="G25" s="5" t="s">
        <v>18</v>
      </c>
    </row>
    <row r="26" spans="1:7" x14ac:dyDescent="0.25">
      <c r="A26">
        <v>25</v>
      </c>
      <c r="B26">
        <v>11111111153</v>
      </c>
      <c r="C26" s="5" t="s">
        <v>65</v>
      </c>
      <c r="D26" s="5" t="s">
        <v>66</v>
      </c>
      <c r="E26" s="6">
        <v>46279.542147646607</v>
      </c>
      <c r="F26" s="5" t="s">
        <v>17</v>
      </c>
      <c r="G26" s="5" t="s">
        <v>18</v>
      </c>
    </row>
    <row r="27" spans="1:7" x14ac:dyDescent="0.25">
      <c r="A27">
        <v>26</v>
      </c>
      <c r="B27">
        <v>11111111154</v>
      </c>
      <c r="C27" s="5" t="s">
        <v>67</v>
      </c>
      <c r="D27" s="5" t="s">
        <v>68</v>
      </c>
      <c r="E27" s="6">
        <v>46279.542147646607</v>
      </c>
      <c r="F27" s="5" t="s">
        <v>17</v>
      </c>
      <c r="G27" s="5" t="s">
        <v>18</v>
      </c>
    </row>
    <row r="28" spans="1:7" x14ac:dyDescent="0.25">
      <c r="A28">
        <v>27</v>
      </c>
      <c r="B28">
        <v>11111111155</v>
      </c>
      <c r="C28" s="5" t="s">
        <v>69</v>
      </c>
      <c r="D28" s="5" t="s">
        <v>70</v>
      </c>
      <c r="E28" s="6">
        <v>46279.542147646607</v>
      </c>
      <c r="F28" s="5" t="s">
        <v>17</v>
      </c>
      <c r="G28" s="5" t="s">
        <v>18</v>
      </c>
    </row>
    <row r="29" spans="1:7" x14ac:dyDescent="0.25">
      <c r="A29">
        <v>28</v>
      </c>
      <c r="B29">
        <v>11111111156</v>
      </c>
      <c r="C29" s="5" t="s">
        <v>71</v>
      </c>
      <c r="D29" s="5" t="s">
        <v>72</v>
      </c>
      <c r="E29" s="6">
        <v>46279.542147646607</v>
      </c>
      <c r="F29" s="5" t="s">
        <v>17</v>
      </c>
      <c r="G29" s="5" t="s">
        <v>18</v>
      </c>
    </row>
    <row r="30" spans="1:7" x14ac:dyDescent="0.25">
      <c r="A30">
        <v>29</v>
      </c>
      <c r="B30">
        <v>11111111157</v>
      </c>
      <c r="C30" s="5" t="s">
        <v>73</v>
      </c>
      <c r="D30" s="5" t="s">
        <v>74</v>
      </c>
      <c r="E30" s="6">
        <v>46279.542147646607</v>
      </c>
      <c r="F30" s="5" t="s">
        <v>17</v>
      </c>
      <c r="G30" s="5" t="s">
        <v>18</v>
      </c>
    </row>
    <row r="31" spans="1:7" x14ac:dyDescent="0.25">
      <c r="A31">
        <v>30</v>
      </c>
      <c r="B31">
        <v>11111111158</v>
      </c>
      <c r="C31" s="5" t="s">
        <v>75</v>
      </c>
      <c r="D31" s="5" t="s">
        <v>76</v>
      </c>
      <c r="E31" s="6">
        <v>46279.542147646607</v>
      </c>
      <c r="F31" s="5" t="s">
        <v>17</v>
      </c>
      <c r="G31" s="5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71AC-DC00-47C3-9297-0D145427EAC5}">
  <dimension ref="A1:H11"/>
  <sheetViews>
    <sheetView workbookViewId="0">
      <selection sqref="A1:H11"/>
    </sheetView>
  </sheetViews>
  <sheetFormatPr defaultRowHeight="15" x14ac:dyDescent="0.25"/>
  <cols>
    <col min="1" max="1" width="9" bestFit="1" customWidth="1"/>
    <col min="2" max="2" width="12" bestFit="1" customWidth="1"/>
    <col min="3" max="3" width="15.42578125" bestFit="1" customWidth="1"/>
    <col min="4" max="4" width="12.140625" bestFit="1" customWidth="1"/>
    <col min="5" max="5" width="17.42578125" bestFit="1" customWidth="1"/>
    <col min="6" max="6" width="15.5703125" bestFit="1" customWidth="1"/>
    <col min="7" max="7" width="12.7109375" bestFit="1" customWidth="1"/>
    <col min="8" max="8" width="13.85546875" bestFit="1" customWidth="1"/>
  </cols>
  <sheetData>
    <row r="1" spans="1:8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</row>
    <row r="2" spans="1:8" x14ac:dyDescent="0.25">
      <c r="A2">
        <v>1</v>
      </c>
      <c r="B2">
        <v>11111111111</v>
      </c>
      <c r="C2" s="5" t="s">
        <v>85</v>
      </c>
      <c r="D2" s="5" t="s">
        <v>86</v>
      </c>
      <c r="E2" s="5" t="s">
        <v>87</v>
      </c>
      <c r="F2" s="6">
        <v>46279.542147569446</v>
      </c>
      <c r="G2" s="5" t="s">
        <v>17</v>
      </c>
      <c r="H2" s="5" t="s">
        <v>18</v>
      </c>
    </row>
    <row r="3" spans="1:8" x14ac:dyDescent="0.25">
      <c r="A3">
        <v>2</v>
      </c>
      <c r="B3">
        <v>11111111112</v>
      </c>
      <c r="C3" s="5" t="s">
        <v>88</v>
      </c>
      <c r="D3" s="5" t="s">
        <v>89</v>
      </c>
      <c r="E3" s="5" t="s">
        <v>90</v>
      </c>
      <c r="F3" s="6">
        <v>46279.542147569446</v>
      </c>
      <c r="G3" s="5" t="s">
        <v>17</v>
      </c>
      <c r="H3" s="5" t="s">
        <v>18</v>
      </c>
    </row>
    <row r="4" spans="1:8" x14ac:dyDescent="0.25">
      <c r="A4">
        <v>3</v>
      </c>
      <c r="B4">
        <v>11111111113</v>
      </c>
      <c r="C4" s="5" t="s">
        <v>91</v>
      </c>
      <c r="D4" s="5" t="s">
        <v>92</v>
      </c>
      <c r="E4" s="5" t="s">
        <v>93</v>
      </c>
      <c r="F4" s="6">
        <v>46279.542147569446</v>
      </c>
      <c r="G4" s="5" t="s">
        <v>17</v>
      </c>
      <c r="H4" s="5" t="s">
        <v>18</v>
      </c>
    </row>
    <row r="5" spans="1:8" x14ac:dyDescent="0.25">
      <c r="A5">
        <v>4</v>
      </c>
      <c r="B5">
        <v>11111111114</v>
      </c>
      <c r="C5" s="5" t="s">
        <v>94</v>
      </c>
      <c r="D5" s="5" t="s">
        <v>95</v>
      </c>
      <c r="E5" s="5" t="s">
        <v>24</v>
      </c>
      <c r="F5" s="6">
        <v>46279.542147569446</v>
      </c>
      <c r="G5" s="5" t="s">
        <v>17</v>
      </c>
      <c r="H5" s="5" t="s">
        <v>18</v>
      </c>
    </row>
    <row r="6" spans="1:8" x14ac:dyDescent="0.25">
      <c r="A6">
        <v>5</v>
      </c>
      <c r="B6">
        <v>11111111115</v>
      </c>
      <c r="C6" s="5" t="s">
        <v>96</v>
      </c>
      <c r="D6" s="5" t="s">
        <v>97</v>
      </c>
      <c r="E6" s="5" t="s">
        <v>98</v>
      </c>
      <c r="F6" s="6">
        <v>46279.542147569446</v>
      </c>
      <c r="G6" s="5" t="s">
        <v>17</v>
      </c>
      <c r="H6" s="5" t="s">
        <v>18</v>
      </c>
    </row>
    <row r="7" spans="1:8" x14ac:dyDescent="0.25">
      <c r="A7">
        <v>6</v>
      </c>
      <c r="B7">
        <v>11111111116</v>
      </c>
      <c r="C7" s="5" t="s">
        <v>99</v>
      </c>
      <c r="D7" s="5" t="s">
        <v>100</v>
      </c>
      <c r="E7" s="5" t="s">
        <v>101</v>
      </c>
      <c r="F7" s="6">
        <v>46279.542147569446</v>
      </c>
      <c r="G7" s="5" t="s">
        <v>17</v>
      </c>
      <c r="H7" s="5" t="s">
        <v>18</v>
      </c>
    </row>
    <row r="8" spans="1:8" x14ac:dyDescent="0.25">
      <c r="A8">
        <v>7</v>
      </c>
      <c r="B8">
        <v>11111111117</v>
      </c>
      <c r="C8" s="5" t="s">
        <v>102</v>
      </c>
      <c r="D8" s="5" t="s">
        <v>103</v>
      </c>
      <c r="E8" s="5" t="s">
        <v>104</v>
      </c>
      <c r="F8" s="6">
        <v>46279.542147569446</v>
      </c>
      <c r="G8" s="5" t="s">
        <v>17</v>
      </c>
      <c r="H8" s="5" t="s">
        <v>18</v>
      </c>
    </row>
    <row r="9" spans="1:8" x14ac:dyDescent="0.25">
      <c r="A9">
        <v>8</v>
      </c>
      <c r="B9">
        <v>11111111118</v>
      </c>
      <c r="C9" s="5" t="s">
        <v>105</v>
      </c>
      <c r="D9" s="5" t="s">
        <v>106</v>
      </c>
      <c r="E9" s="5" t="s">
        <v>107</v>
      </c>
      <c r="F9" s="6">
        <v>46279.542147569446</v>
      </c>
      <c r="G9" s="5" t="s">
        <v>17</v>
      </c>
      <c r="H9" s="5" t="s">
        <v>18</v>
      </c>
    </row>
    <row r="10" spans="1:8" x14ac:dyDescent="0.25">
      <c r="A10">
        <v>9</v>
      </c>
      <c r="B10">
        <v>11111111119</v>
      </c>
      <c r="C10" s="5" t="s">
        <v>108</v>
      </c>
      <c r="D10" s="5" t="s">
        <v>109</v>
      </c>
      <c r="E10" s="5" t="s">
        <v>110</v>
      </c>
      <c r="F10" s="6">
        <v>46279.542147569446</v>
      </c>
      <c r="G10" s="5" t="s">
        <v>17</v>
      </c>
      <c r="H10" s="5" t="s">
        <v>18</v>
      </c>
    </row>
    <row r="11" spans="1:8" x14ac:dyDescent="0.25">
      <c r="A11">
        <v>10</v>
      </c>
      <c r="B11">
        <v>11111111120</v>
      </c>
      <c r="C11" s="5" t="s">
        <v>111</v>
      </c>
      <c r="D11" s="5" t="s">
        <v>112</v>
      </c>
      <c r="E11" s="5" t="s">
        <v>113</v>
      </c>
      <c r="F11" s="6">
        <v>46279.542147569446</v>
      </c>
      <c r="G11" s="5" t="s">
        <v>17</v>
      </c>
      <c r="H11" s="5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9E42-170E-4B2D-A481-DB6D797A7D6A}">
  <dimension ref="A1:K31"/>
  <sheetViews>
    <sheetView workbookViewId="0">
      <selection sqref="A1:K31"/>
    </sheetView>
  </sheetViews>
  <sheetFormatPr defaultRowHeight="15" x14ac:dyDescent="0.25"/>
  <cols>
    <col min="1" max="1" width="8.42578125" bestFit="1" customWidth="1"/>
    <col min="2" max="2" width="8.140625" bestFit="1" customWidth="1"/>
    <col min="3" max="3" width="29.28515625" bestFit="1" customWidth="1"/>
    <col min="4" max="4" width="15.85546875" bestFit="1" customWidth="1"/>
    <col min="5" max="5" width="13.85546875" bestFit="1" customWidth="1"/>
    <col min="6" max="6" width="13.42578125" bestFit="1" customWidth="1"/>
    <col min="7" max="7" width="19.7109375" bestFit="1" customWidth="1"/>
    <col min="8" max="8" width="24.42578125" bestFit="1" customWidth="1"/>
    <col min="9" max="9" width="15.5703125" bestFit="1" customWidth="1"/>
    <col min="10" max="10" width="12.140625" bestFit="1" customWidth="1"/>
    <col min="11" max="11" width="13.28515625" bestFit="1" customWidth="1"/>
  </cols>
  <sheetData>
    <row r="1" spans="1:11" x14ac:dyDescent="0.25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</row>
    <row r="2" spans="1:11" x14ac:dyDescent="0.25">
      <c r="A2">
        <v>1</v>
      </c>
      <c r="B2">
        <v>1</v>
      </c>
      <c r="C2" s="5" t="s">
        <v>125</v>
      </c>
      <c r="D2" s="5" t="s">
        <v>126</v>
      </c>
      <c r="E2" s="5" t="s">
        <v>127</v>
      </c>
      <c r="F2" s="5" t="s">
        <v>127</v>
      </c>
      <c r="G2">
        <v>2</v>
      </c>
      <c r="H2">
        <v>1775642.16</v>
      </c>
      <c r="I2" s="6">
        <v>46279.542147723769</v>
      </c>
      <c r="J2" s="5" t="s">
        <v>17</v>
      </c>
      <c r="K2" s="5" t="s">
        <v>18</v>
      </c>
    </row>
    <row r="3" spans="1:11" x14ac:dyDescent="0.25">
      <c r="A3">
        <v>2</v>
      </c>
      <c r="B3">
        <v>2</v>
      </c>
      <c r="C3" s="5" t="s">
        <v>128</v>
      </c>
      <c r="D3" s="5" t="s">
        <v>129</v>
      </c>
      <c r="E3" s="5" t="s">
        <v>127</v>
      </c>
      <c r="F3" s="5" t="s">
        <v>127</v>
      </c>
      <c r="G3">
        <v>1</v>
      </c>
      <c r="H3">
        <v>942104.83</v>
      </c>
      <c r="I3" s="6">
        <v>46279.542147723769</v>
      </c>
      <c r="J3" s="5" t="s">
        <v>17</v>
      </c>
      <c r="K3" s="5" t="s">
        <v>18</v>
      </c>
    </row>
    <row r="4" spans="1:11" x14ac:dyDescent="0.25">
      <c r="A4">
        <v>3</v>
      </c>
      <c r="B4">
        <v>3</v>
      </c>
      <c r="C4" s="5" t="s">
        <v>130</v>
      </c>
      <c r="D4" s="5" t="s">
        <v>131</v>
      </c>
      <c r="E4" s="5" t="s">
        <v>127</v>
      </c>
      <c r="F4" s="5" t="s">
        <v>127</v>
      </c>
      <c r="G4">
        <v>1</v>
      </c>
      <c r="H4">
        <v>1323758.44</v>
      </c>
      <c r="I4" s="6">
        <v>46279.542147723769</v>
      </c>
      <c r="J4" s="5" t="s">
        <v>17</v>
      </c>
      <c r="K4" s="5" t="s">
        <v>18</v>
      </c>
    </row>
    <row r="5" spans="1:11" x14ac:dyDescent="0.25">
      <c r="A5">
        <v>4</v>
      </c>
      <c r="B5">
        <v>4</v>
      </c>
      <c r="C5" s="5" t="s">
        <v>132</v>
      </c>
      <c r="D5" s="5" t="s">
        <v>133</v>
      </c>
      <c r="E5" s="5" t="s">
        <v>134</v>
      </c>
      <c r="F5" s="5" t="s">
        <v>127</v>
      </c>
      <c r="G5">
        <v>1</v>
      </c>
      <c r="H5">
        <v>648957.31999999995</v>
      </c>
      <c r="I5" s="6">
        <v>46279.542147723769</v>
      </c>
      <c r="J5" s="5" t="s">
        <v>17</v>
      </c>
      <c r="K5" s="5" t="s">
        <v>18</v>
      </c>
    </row>
    <row r="6" spans="1:11" x14ac:dyDescent="0.25">
      <c r="A6">
        <v>5</v>
      </c>
      <c r="B6">
        <v>5</v>
      </c>
      <c r="C6" s="5" t="s">
        <v>135</v>
      </c>
      <c r="D6" s="5" t="s">
        <v>136</v>
      </c>
      <c r="E6" s="5" t="s">
        <v>137</v>
      </c>
      <c r="F6" s="5" t="s">
        <v>138</v>
      </c>
      <c r="G6">
        <v>1</v>
      </c>
      <c r="H6">
        <v>395691.29</v>
      </c>
      <c r="I6" s="6">
        <v>46279.542147723769</v>
      </c>
      <c r="J6" s="5" t="s">
        <v>17</v>
      </c>
      <c r="K6" s="5" t="s">
        <v>18</v>
      </c>
    </row>
    <row r="7" spans="1:11" x14ac:dyDescent="0.25">
      <c r="A7">
        <v>6</v>
      </c>
      <c r="B7">
        <v>6</v>
      </c>
      <c r="C7" s="5" t="s">
        <v>139</v>
      </c>
      <c r="D7" s="5" t="s">
        <v>140</v>
      </c>
      <c r="E7" s="5" t="s">
        <v>141</v>
      </c>
      <c r="F7" s="5" t="s">
        <v>138</v>
      </c>
      <c r="G7">
        <v>1</v>
      </c>
      <c r="H7">
        <v>482343.45</v>
      </c>
      <c r="I7" s="6">
        <v>46279.542147723769</v>
      </c>
      <c r="J7" s="5" t="s">
        <v>17</v>
      </c>
      <c r="K7" s="5" t="s">
        <v>18</v>
      </c>
    </row>
    <row r="8" spans="1:11" x14ac:dyDescent="0.25">
      <c r="A8">
        <v>7</v>
      </c>
      <c r="B8">
        <v>7</v>
      </c>
      <c r="C8" s="5" t="s">
        <v>142</v>
      </c>
      <c r="D8" s="5" t="s">
        <v>136</v>
      </c>
      <c r="E8" s="5" t="s">
        <v>143</v>
      </c>
      <c r="F8" s="5" t="s">
        <v>144</v>
      </c>
      <c r="G8">
        <v>1</v>
      </c>
      <c r="H8">
        <v>1385339.68</v>
      </c>
      <c r="I8" s="6">
        <v>46279.542147723769</v>
      </c>
      <c r="J8" s="5" t="s">
        <v>17</v>
      </c>
      <c r="K8" s="5" t="s">
        <v>18</v>
      </c>
    </row>
    <row r="9" spans="1:11" x14ac:dyDescent="0.25">
      <c r="A9">
        <v>8</v>
      </c>
      <c r="B9">
        <v>8</v>
      </c>
      <c r="C9" s="5" t="s">
        <v>145</v>
      </c>
      <c r="D9" s="5" t="s">
        <v>133</v>
      </c>
      <c r="E9" s="5" t="s">
        <v>146</v>
      </c>
      <c r="F9" s="5" t="s">
        <v>144</v>
      </c>
      <c r="G9">
        <v>1</v>
      </c>
      <c r="H9">
        <v>529641.81999999995</v>
      </c>
      <c r="I9" s="6">
        <v>46279.542147723769</v>
      </c>
      <c r="J9" s="5" t="s">
        <v>17</v>
      </c>
      <c r="K9" s="5" t="s">
        <v>18</v>
      </c>
    </row>
    <row r="10" spans="1:11" x14ac:dyDescent="0.25">
      <c r="A10">
        <v>9</v>
      </c>
      <c r="B10">
        <v>9</v>
      </c>
      <c r="C10" s="5" t="s">
        <v>147</v>
      </c>
      <c r="D10" s="5" t="s">
        <v>136</v>
      </c>
      <c r="E10" s="5" t="s">
        <v>148</v>
      </c>
      <c r="F10" s="5" t="s">
        <v>149</v>
      </c>
      <c r="G10">
        <v>1</v>
      </c>
      <c r="H10">
        <v>1365126.21</v>
      </c>
      <c r="I10" s="6">
        <v>46279.542147723769</v>
      </c>
      <c r="J10" s="5" t="s">
        <v>17</v>
      </c>
      <c r="K10" s="5" t="s">
        <v>18</v>
      </c>
    </row>
    <row r="11" spans="1:11" x14ac:dyDescent="0.25">
      <c r="A11">
        <v>10</v>
      </c>
      <c r="B11">
        <v>10</v>
      </c>
      <c r="C11" s="5" t="s">
        <v>150</v>
      </c>
      <c r="D11" s="5" t="s">
        <v>151</v>
      </c>
      <c r="E11" s="5" t="s">
        <v>138</v>
      </c>
      <c r="F11" s="5" t="s">
        <v>138</v>
      </c>
      <c r="G11">
        <v>1</v>
      </c>
      <c r="H11">
        <v>300000.42</v>
      </c>
      <c r="I11" s="6">
        <v>46279.542147723769</v>
      </c>
      <c r="J11" s="5" t="s">
        <v>17</v>
      </c>
      <c r="K11" s="5" t="s">
        <v>18</v>
      </c>
    </row>
    <row r="12" spans="1:11" x14ac:dyDescent="0.25">
      <c r="A12">
        <v>11</v>
      </c>
      <c r="B12">
        <v>11</v>
      </c>
      <c r="C12" s="5" t="s">
        <v>147</v>
      </c>
      <c r="D12" s="5" t="s">
        <v>152</v>
      </c>
      <c r="E12" s="5" t="s">
        <v>148</v>
      </c>
      <c r="F12" s="5" t="s">
        <v>149</v>
      </c>
      <c r="G12">
        <v>2</v>
      </c>
      <c r="H12">
        <v>1375785.7</v>
      </c>
      <c r="I12" s="6">
        <v>46279.542147723769</v>
      </c>
      <c r="J12" s="5" t="s">
        <v>17</v>
      </c>
      <c r="K12" s="5" t="s">
        <v>18</v>
      </c>
    </row>
    <row r="13" spans="1:11" x14ac:dyDescent="0.25">
      <c r="A13">
        <v>12</v>
      </c>
      <c r="B13">
        <v>12</v>
      </c>
      <c r="C13" s="5" t="s">
        <v>153</v>
      </c>
      <c r="D13" s="5" t="s">
        <v>136</v>
      </c>
      <c r="E13" s="5" t="s">
        <v>154</v>
      </c>
      <c r="F13" s="5" t="s">
        <v>155</v>
      </c>
      <c r="G13">
        <v>1</v>
      </c>
      <c r="H13">
        <v>1077974.1000000001</v>
      </c>
      <c r="I13" s="6">
        <v>46279.542147723769</v>
      </c>
      <c r="J13" s="5" t="s">
        <v>17</v>
      </c>
      <c r="K13" s="5" t="s">
        <v>18</v>
      </c>
    </row>
    <row r="14" spans="1:11" x14ac:dyDescent="0.25">
      <c r="A14">
        <v>13</v>
      </c>
      <c r="B14">
        <v>13</v>
      </c>
      <c r="C14" s="5" t="s">
        <v>125</v>
      </c>
      <c r="D14" s="5" t="s">
        <v>126</v>
      </c>
      <c r="E14" s="5" t="s">
        <v>127</v>
      </c>
      <c r="F14" s="5" t="s">
        <v>127</v>
      </c>
      <c r="G14">
        <v>2</v>
      </c>
      <c r="H14">
        <v>1134840.3400000001</v>
      </c>
      <c r="I14" s="6">
        <v>46279.542147723769</v>
      </c>
      <c r="J14" s="5" t="s">
        <v>17</v>
      </c>
      <c r="K14" s="5" t="s">
        <v>18</v>
      </c>
    </row>
    <row r="15" spans="1:11" x14ac:dyDescent="0.25">
      <c r="A15">
        <v>14</v>
      </c>
      <c r="B15">
        <v>14</v>
      </c>
      <c r="C15" s="5" t="s">
        <v>156</v>
      </c>
      <c r="D15" s="5" t="s">
        <v>157</v>
      </c>
      <c r="E15" s="5" t="s">
        <v>127</v>
      </c>
      <c r="F15" s="5" t="s">
        <v>127</v>
      </c>
      <c r="G15">
        <v>1</v>
      </c>
      <c r="H15">
        <v>1185790.1000000001</v>
      </c>
      <c r="I15" s="6">
        <v>46279.542147723769</v>
      </c>
      <c r="J15" s="5" t="s">
        <v>17</v>
      </c>
      <c r="K15" s="5" t="s">
        <v>18</v>
      </c>
    </row>
    <row r="16" spans="1:11" x14ac:dyDescent="0.25">
      <c r="A16">
        <v>15</v>
      </c>
      <c r="B16">
        <v>15</v>
      </c>
      <c r="C16" s="5" t="s">
        <v>128</v>
      </c>
      <c r="D16" s="5" t="s">
        <v>129</v>
      </c>
      <c r="E16" s="5" t="s">
        <v>127</v>
      </c>
      <c r="F16" s="5" t="s">
        <v>127</v>
      </c>
      <c r="G16">
        <v>2</v>
      </c>
      <c r="H16">
        <v>2373028.52</v>
      </c>
      <c r="I16" s="6">
        <v>46279.542147723769</v>
      </c>
      <c r="J16" s="5" t="s">
        <v>17</v>
      </c>
      <c r="K16" s="5" t="s">
        <v>18</v>
      </c>
    </row>
    <row r="17" spans="1:11" x14ac:dyDescent="0.25">
      <c r="A17">
        <v>16</v>
      </c>
      <c r="B17">
        <v>16</v>
      </c>
      <c r="C17" s="5" t="s">
        <v>130</v>
      </c>
      <c r="D17" s="5" t="s">
        <v>131</v>
      </c>
      <c r="E17" s="5" t="s">
        <v>127</v>
      </c>
      <c r="F17" s="5" t="s">
        <v>127</v>
      </c>
      <c r="G17">
        <v>2</v>
      </c>
      <c r="H17">
        <v>655330.80000000005</v>
      </c>
      <c r="I17" s="6">
        <v>46279.542147723769</v>
      </c>
      <c r="J17" s="5" t="s">
        <v>17</v>
      </c>
      <c r="K17" s="5" t="s">
        <v>18</v>
      </c>
    </row>
    <row r="18" spans="1:11" x14ac:dyDescent="0.25">
      <c r="A18">
        <v>17</v>
      </c>
      <c r="B18">
        <v>17</v>
      </c>
      <c r="C18" s="5" t="s">
        <v>132</v>
      </c>
      <c r="D18" s="5" t="s">
        <v>133</v>
      </c>
      <c r="E18" s="5" t="s">
        <v>134</v>
      </c>
      <c r="F18" s="5" t="s">
        <v>127</v>
      </c>
      <c r="G18">
        <v>1</v>
      </c>
      <c r="H18">
        <v>293062.56</v>
      </c>
      <c r="I18" s="6">
        <v>46279.542147723769</v>
      </c>
      <c r="J18" s="5" t="s">
        <v>17</v>
      </c>
      <c r="K18" s="5" t="s">
        <v>18</v>
      </c>
    </row>
    <row r="19" spans="1:11" x14ac:dyDescent="0.25">
      <c r="A19">
        <v>18</v>
      </c>
      <c r="B19">
        <v>18</v>
      </c>
      <c r="C19" s="5" t="s">
        <v>158</v>
      </c>
      <c r="D19" s="5" t="s">
        <v>136</v>
      </c>
      <c r="E19" s="5" t="s">
        <v>159</v>
      </c>
      <c r="F19" s="5" t="s">
        <v>127</v>
      </c>
      <c r="G19">
        <v>2</v>
      </c>
      <c r="H19">
        <v>2859680.52</v>
      </c>
      <c r="I19" s="6">
        <v>46279.542147723769</v>
      </c>
      <c r="J19" s="5" t="s">
        <v>17</v>
      </c>
      <c r="K19" s="5" t="s">
        <v>18</v>
      </c>
    </row>
    <row r="20" spans="1:11" x14ac:dyDescent="0.25">
      <c r="A20">
        <v>19</v>
      </c>
      <c r="B20">
        <v>19</v>
      </c>
      <c r="C20" s="5" t="s">
        <v>150</v>
      </c>
      <c r="D20" s="5" t="s">
        <v>136</v>
      </c>
      <c r="E20" s="5" t="s">
        <v>138</v>
      </c>
      <c r="F20" s="5" t="s">
        <v>138</v>
      </c>
      <c r="G20">
        <v>1</v>
      </c>
      <c r="H20">
        <v>1176950.06</v>
      </c>
      <c r="I20" s="6">
        <v>46279.542147723769</v>
      </c>
      <c r="J20" s="5" t="s">
        <v>17</v>
      </c>
      <c r="K20" s="5" t="s">
        <v>18</v>
      </c>
    </row>
    <row r="21" spans="1:11" x14ac:dyDescent="0.25">
      <c r="A21">
        <v>20</v>
      </c>
      <c r="B21">
        <v>20</v>
      </c>
      <c r="C21" s="5" t="s">
        <v>160</v>
      </c>
      <c r="D21" s="5" t="s">
        <v>161</v>
      </c>
      <c r="E21" s="5" t="s">
        <v>138</v>
      </c>
      <c r="F21" s="5" t="s">
        <v>138</v>
      </c>
      <c r="G21">
        <v>1</v>
      </c>
      <c r="H21">
        <v>775961.71</v>
      </c>
      <c r="I21" s="6">
        <v>46279.542147723769</v>
      </c>
      <c r="J21" s="5" t="s">
        <v>17</v>
      </c>
      <c r="K21" s="5" t="s">
        <v>18</v>
      </c>
    </row>
    <row r="22" spans="1:11" x14ac:dyDescent="0.25">
      <c r="A22">
        <v>21</v>
      </c>
      <c r="B22">
        <v>21</v>
      </c>
      <c r="C22" s="5" t="s">
        <v>135</v>
      </c>
      <c r="D22" s="5" t="s">
        <v>136</v>
      </c>
      <c r="E22" s="5" t="s">
        <v>137</v>
      </c>
      <c r="F22" s="5" t="s">
        <v>138</v>
      </c>
      <c r="G22">
        <v>2</v>
      </c>
      <c r="H22">
        <v>1913481.9</v>
      </c>
      <c r="I22" s="6">
        <v>46279.542147723769</v>
      </c>
      <c r="J22" s="5" t="s">
        <v>17</v>
      </c>
      <c r="K22" s="5" t="s">
        <v>18</v>
      </c>
    </row>
    <row r="23" spans="1:11" x14ac:dyDescent="0.25">
      <c r="A23">
        <v>22</v>
      </c>
      <c r="B23">
        <v>22</v>
      </c>
      <c r="C23" s="5" t="s">
        <v>139</v>
      </c>
      <c r="D23" s="5" t="s">
        <v>140</v>
      </c>
      <c r="E23" s="5" t="s">
        <v>141</v>
      </c>
      <c r="F23" s="5" t="s">
        <v>138</v>
      </c>
      <c r="G23">
        <v>2</v>
      </c>
      <c r="H23">
        <v>2629437.46</v>
      </c>
      <c r="I23" s="6">
        <v>46279.542147723769</v>
      </c>
      <c r="J23" s="5" t="s">
        <v>17</v>
      </c>
      <c r="K23" s="5" t="s">
        <v>18</v>
      </c>
    </row>
    <row r="24" spans="1:11" x14ac:dyDescent="0.25">
      <c r="A24">
        <v>23</v>
      </c>
      <c r="B24">
        <v>23</v>
      </c>
      <c r="C24" s="5" t="s">
        <v>142</v>
      </c>
      <c r="D24" s="5" t="s">
        <v>136</v>
      </c>
      <c r="E24" s="5" t="s">
        <v>143</v>
      </c>
      <c r="F24" s="5" t="s">
        <v>144</v>
      </c>
      <c r="G24">
        <v>1</v>
      </c>
      <c r="H24">
        <v>462792.59</v>
      </c>
      <c r="I24" s="6">
        <v>46279.542147723769</v>
      </c>
      <c r="J24" s="5" t="s">
        <v>17</v>
      </c>
      <c r="K24" s="5" t="s">
        <v>18</v>
      </c>
    </row>
    <row r="25" spans="1:11" x14ac:dyDescent="0.25">
      <c r="A25">
        <v>24</v>
      </c>
      <c r="B25">
        <v>24</v>
      </c>
      <c r="C25" s="5" t="s">
        <v>145</v>
      </c>
      <c r="D25" s="5" t="s">
        <v>133</v>
      </c>
      <c r="E25" s="5" t="s">
        <v>146</v>
      </c>
      <c r="F25" s="5" t="s">
        <v>144</v>
      </c>
      <c r="G25">
        <v>2</v>
      </c>
      <c r="H25">
        <v>2491792.08</v>
      </c>
      <c r="I25" s="6">
        <v>46279.542147723769</v>
      </c>
      <c r="J25" s="5" t="s">
        <v>17</v>
      </c>
      <c r="K25" s="5" t="s">
        <v>18</v>
      </c>
    </row>
    <row r="26" spans="1:11" x14ac:dyDescent="0.25">
      <c r="A26">
        <v>25</v>
      </c>
      <c r="B26">
        <v>25</v>
      </c>
      <c r="C26" s="5" t="s">
        <v>147</v>
      </c>
      <c r="D26" s="5" t="s">
        <v>136</v>
      </c>
      <c r="E26" s="5" t="s">
        <v>148</v>
      </c>
      <c r="F26" s="5" t="s">
        <v>149</v>
      </c>
      <c r="G26">
        <v>1</v>
      </c>
      <c r="H26">
        <v>722655</v>
      </c>
      <c r="I26" s="6">
        <v>46279.542147723769</v>
      </c>
      <c r="J26" s="5" t="s">
        <v>17</v>
      </c>
      <c r="K26" s="5" t="s">
        <v>18</v>
      </c>
    </row>
    <row r="27" spans="1:11" x14ac:dyDescent="0.25">
      <c r="A27">
        <v>26</v>
      </c>
      <c r="B27">
        <v>26</v>
      </c>
      <c r="C27" s="5" t="s">
        <v>153</v>
      </c>
      <c r="D27" s="5" t="s">
        <v>136</v>
      </c>
      <c r="E27" s="5" t="s">
        <v>154</v>
      </c>
      <c r="F27" s="5" t="s">
        <v>155</v>
      </c>
      <c r="G27">
        <v>1</v>
      </c>
      <c r="H27">
        <v>508226.36</v>
      </c>
      <c r="I27" s="6">
        <v>46279.542147723769</v>
      </c>
      <c r="J27" s="5" t="s">
        <v>17</v>
      </c>
      <c r="K27" s="5" t="s">
        <v>18</v>
      </c>
    </row>
    <row r="28" spans="1:11" x14ac:dyDescent="0.25">
      <c r="A28">
        <v>27</v>
      </c>
      <c r="B28">
        <v>27</v>
      </c>
      <c r="C28" s="5" t="s">
        <v>125</v>
      </c>
      <c r="D28" s="5" t="s">
        <v>162</v>
      </c>
      <c r="E28" s="5" t="s">
        <v>127</v>
      </c>
      <c r="F28" s="5" t="s">
        <v>127</v>
      </c>
      <c r="G28">
        <v>2</v>
      </c>
      <c r="H28">
        <v>844408.42</v>
      </c>
      <c r="I28" s="6">
        <v>46279.542147723769</v>
      </c>
      <c r="J28" s="5" t="s">
        <v>17</v>
      </c>
      <c r="K28" s="5" t="s">
        <v>18</v>
      </c>
    </row>
    <row r="29" spans="1:11" x14ac:dyDescent="0.25">
      <c r="A29">
        <v>28</v>
      </c>
      <c r="B29">
        <v>28</v>
      </c>
      <c r="C29" s="5" t="s">
        <v>150</v>
      </c>
      <c r="D29" s="5" t="s">
        <v>151</v>
      </c>
      <c r="E29" s="5" t="s">
        <v>138</v>
      </c>
      <c r="F29" s="5" t="s">
        <v>138</v>
      </c>
      <c r="G29">
        <v>1</v>
      </c>
      <c r="H29">
        <v>246776.59</v>
      </c>
      <c r="I29" s="6">
        <v>46279.542147723769</v>
      </c>
      <c r="J29" s="5" t="s">
        <v>17</v>
      </c>
      <c r="K29" s="5" t="s">
        <v>18</v>
      </c>
    </row>
    <row r="30" spans="1:11" x14ac:dyDescent="0.25">
      <c r="A30">
        <v>29</v>
      </c>
      <c r="B30">
        <v>29</v>
      </c>
      <c r="C30" s="5" t="s">
        <v>142</v>
      </c>
      <c r="D30" s="5" t="s">
        <v>163</v>
      </c>
      <c r="E30" s="5" t="s">
        <v>143</v>
      </c>
      <c r="F30" s="5" t="s">
        <v>144</v>
      </c>
      <c r="G30">
        <v>2</v>
      </c>
      <c r="H30">
        <v>1630786.22</v>
      </c>
      <c r="I30" s="6">
        <v>46279.542147723769</v>
      </c>
      <c r="J30" s="5" t="s">
        <v>17</v>
      </c>
      <c r="K30" s="5" t="s">
        <v>18</v>
      </c>
    </row>
    <row r="31" spans="1:11" x14ac:dyDescent="0.25">
      <c r="A31">
        <v>30</v>
      </c>
      <c r="B31">
        <v>30</v>
      </c>
      <c r="C31" s="5" t="s">
        <v>153</v>
      </c>
      <c r="D31" s="5" t="s">
        <v>136</v>
      </c>
      <c r="E31" s="5" t="s">
        <v>154</v>
      </c>
      <c r="F31" s="5" t="s">
        <v>155</v>
      </c>
      <c r="G31">
        <v>1</v>
      </c>
      <c r="H31">
        <v>530068.04</v>
      </c>
      <c r="I31" s="6">
        <v>46279.542147723769</v>
      </c>
      <c r="J31" s="5" t="s">
        <v>17</v>
      </c>
      <c r="K31" s="5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FB42-3F8A-4893-9F3C-AF813833C84C}">
  <dimension ref="A1:D29"/>
  <sheetViews>
    <sheetView workbookViewId="0">
      <selection sqref="A1:D29"/>
    </sheetView>
  </sheetViews>
  <sheetFormatPr defaultRowHeight="15" x14ac:dyDescent="0.25"/>
  <cols>
    <col min="1" max="1" width="7.85546875" bestFit="1" customWidth="1"/>
    <col min="2" max="2" width="19.7109375" bestFit="1" customWidth="1"/>
    <col min="3" max="3" width="8.42578125" bestFit="1" customWidth="1"/>
    <col min="4" max="4" width="9" bestFit="1" customWidth="1"/>
  </cols>
  <sheetData>
    <row r="1" spans="1:4" x14ac:dyDescent="0.25">
      <c r="A1" t="s">
        <v>164</v>
      </c>
      <c r="B1" t="s">
        <v>165</v>
      </c>
      <c r="C1" t="s">
        <v>114</v>
      </c>
      <c r="D1" t="s">
        <v>1</v>
      </c>
    </row>
    <row r="2" spans="1:4" x14ac:dyDescent="0.25">
      <c r="A2">
        <v>1</v>
      </c>
      <c r="B2">
        <v>23741.48</v>
      </c>
      <c r="C2">
        <v>5</v>
      </c>
      <c r="D2">
        <v>20250520</v>
      </c>
    </row>
    <row r="3" spans="1:4" x14ac:dyDescent="0.25">
      <c r="A3">
        <v>2</v>
      </c>
      <c r="B3">
        <v>25332.25</v>
      </c>
      <c r="C3">
        <v>27</v>
      </c>
      <c r="D3">
        <v>20250415</v>
      </c>
    </row>
    <row r="4" spans="1:4" x14ac:dyDescent="0.25">
      <c r="A4">
        <v>3</v>
      </c>
      <c r="B4">
        <v>38937.440000000002</v>
      </c>
      <c r="C4">
        <v>4</v>
      </c>
      <c r="D4">
        <v>20250310</v>
      </c>
    </row>
    <row r="5" spans="1:4" x14ac:dyDescent="0.25">
      <c r="A5">
        <v>4</v>
      </c>
      <c r="B5">
        <v>17583.75</v>
      </c>
      <c r="C5">
        <v>17</v>
      </c>
      <c r="D5">
        <v>20250830</v>
      </c>
    </row>
    <row r="6" spans="1:4" x14ac:dyDescent="0.25">
      <c r="A6">
        <v>5</v>
      </c>
      <c r="B6">
        <v>41273.57</v>
      </c>
      <c r="C6">
        <v>11</v>
      </c>
      <c r="D6">
        <v>20250620</v>
      </c>
    </row>
    <row r="7" spans="1:4" x14ac:dyDescent="0.25">
      <c r="A7">
        <v>6</v>
      </c>
      <c r="B7">
        <v>71147.41</v>
      </c>
      <c r="C7">
        <v>14</v>
      </c>
      <c r="D7">
        <v>20250830</v>
      </c>
    </row>
    <row r="8" spans="1:4" x14ac:dyDescent="0.25">
      <c r="A8">
        <v>7</v>
      </c>
      <c r="B8">
        <v>18000.03</v>
      </c>
      <c r="C8">
        <v>10</v>
      </c>
      <c r="D8">
        <v>20250305</v>
      </c>
    </row>
    <row r="9" spans="1:4" x14ac:dyDescent="0.25">
      <c r="A9">
        <v>8</v>
      </c>
      <c r="B9">
        <v>31778.51</v>
      </c>
      <c r="C9">
        <v>8</v>
      </c>
      <c r="D9">
        <v>20250401</v>
      </c>
    </row>
    <row r="10" spans="1:4" x14ac:dyDescent="0.25">
      <c r="A10">
        <v>9</v>
      </c>
      <c r="B10">
        <v>74753.759999999995</v>
      </c>
      <c r="C10">
        <v>24</v>
      </c>
      <c r="D10">
        <v>20250501</v>
      </c>
    </row>
    <row r="11" spans="1:4" x14ac:dyDescent="0.25">
      <c r="A11">
        <v>10</v>
      </c>
      <c r="B11">
        <v>163815.14000000001</v>
      </c>
      <c r="C11">
        <v>9</v>
      </c>
      <c r="D11">
        <v>20250715</v>
      </c>
    </row>
    <row r="12" spans="1:4" x14ac:dyDescent="0.25">
      <c r="A12">
        <v>11</v>
      </c>
      <c r="B12">
        <v>28940.61</v>
      </c>
      <c r="C12">
        <v>6</v>
      </c>
      <c r="D12">
        <v>20250601</v>
      </c>
    </row>
    <row r="13" spans="1:4" x14ac:dyDescent="0.25">
      <c r="A13">
        <v>12</v>
      </c>
      <c r="B13">
        <v>48923.59</v>
      </c>
      <c r="C13">
        <v>29</v>
      </c>
      <c r="D13">
        <v>20250505</v>
      </c>
    </row>
    <row r="14" spans="1:4" x14ac:dyDescent="0.25">
      <c r="A14">
        <v>13</v>
      </c>
      <c r="B14">
        <v>14806.6</v>
      </c>
      <c r="C14">
        <v>28</v>
      </c>
      <c r="D14">
        <v>20250605</v>
      </c>
    </row>
    <row r="15" spans="1:4" x14ac:dyDescent="0.25">
      <c r="A15">
        <v>14</v>
      </c>
      <c r="B15">
        <v>43359.3</v>
      </c>
      <c r="C15">
        <v>25</v>
      </c>
      <c r="D15">
        <v>20250301</v>
      </c>
    </row>
    <row r="16" spans="1:4" x14ac:dyDescent="0.25">
      <c r="A16">
        <v>15</v>
      </c>
      <c r="B16">
        <v>85790.42</v>
      </c>
      <c r="C16">
        <v>18</v>
      </c>
      <c r="D16">
        <v>20250510</v>
      </c>
    </row>
    <row r="17" spans="1:4" x14ac:dyDescent="0.25">
      <c r="A17">
        <v>16</v>
      </c>
      <c r="B17">
        <v>70617</v>
      </c>
      <c r="C17">
        <v>19</v>
      </c>
      <c r="D17">
        <v>20250425</v>
      </c>
    </row>
    <row r="18" spans="1:4" x14ac:dyDescent="0.25">
      <c r="A18">
        <v>17</v>
      </c>
      <c r="B18">
        <v>34045.21</v>
      </c>
      <c r="C18">
        <v>13</v>
      </c>
      <c r="D18">
        <v>20250625</v>
      </c>
    </row>
    <row r="19" spans="1:4" x14ac:dyDescent="0.25">
      <c r="A19">
        <v>18</v>
      </c>
      <c r="B19">
        <v>71190.86</v>
      </c>
      <c r="C19">
        <v>15</v>
      </c>
      <c r="D19">
        <v>20250525</v>
      </c>
    </row>
    <row r="20" spans="1:4" x14ac:dyDescent="0.25">
      <c r="A20">
        <v>19</v>
      </c>
      <c r="B20">
        <v>46557.7</v>
      </c>
      <c r="C20">
        <v>20</v>
      </c>
      <c r="D20">
        <v>20250515</v>
      </c>
    </row>
    <row r="21" spans="1:4" x14ac:dyDescent="0.25">
      <c r="A21">
        <v>20</v>
      </c>
      <c r="B21">
        <v>30493.58</v>
      </c>
      <c r="C21">
        <v>26</v>
      </c>
      <c r="D21">
        <v>20250610</v>
      </c>
    </row>
    <row r="22" spans="1:4" x14ac:dyDescent="0.25">
      <c r="A22">
        <v>21</v>
      </c>
      <c r="B22">
        <v>64678.45</v>
      </c>
      <c r="C22">
        <v>12</v>
      </c>
      <c r="D22">
        <v>20250325</v>
      </c>
    </row>
    <row r="23" spans="1:4" x14ac:dyDescent="0.25">
      <c r="A23">
        <v>22</v>
      </c>
      <c r="B23">
        <v>79425.509999999995</v>
      </c>
      <c r="C23">
        <v>3</v>
      </c>
      <c r="D23">
        <v>20250405</v>
      </c>
    </row>
    <row r="24" spans="1:4" x14ac:dyDescent="0.25">
      <c r="A24">
        <v>23</v>
      </c>
      <c r="B24">
        <v>83120.38</v>
      </c>
      <c r="C24">
        <v>7</v>
      </c>
      <c r="D24">
        <v>20250410</v>
      </c>
    </row>
    <row r="25" spans="1:4" x14ac:dyDescent="0.25">
      <c r="A25">
        <v>24</v>
      </c>
      <c r="B25">
        <v>31804.080000000002</v>
      </c>
      <c r="C25">
        <v>30</v>
      </c>
      <c r="D25">
        <v>20250320</v>
      </c>
    </row>
    <row r="26" spans="1:4" x14ac:dyDescent="0.25">
      <c r="A26">
        <v>25</v>
      </c>
      <c r="B26">
        <v>78883.12</v>
      </c>
      <c r="C26">
        <v>22</v>
      </c>
      <c r="D26">
        <v>20250615</v>
      </c>
    </row>
    <row r="27" spans="1:4" x14ac:dyDescent="0.25">
      <c r="A27">
        <v>26</v>
      </c>
      <c r="B27">
        <v>56526.29</v>
      </c>
      <c r="C27">
        <v>2</v>
      </c>
      <c r="D27">
        <v>20250420</v>
      </c>
    </row>
    <row r="28" spans="1:4" x14ac:dyDescent="0.25">
      <c r="A28">
        <v>27</v>
      </c>
      <c r="B28">
        <v>57404.46</v>
      </c>
      <c r="C28">
        <v>21</v>
      </c>
      <c r="D28">
        <v>20250315</v>
      </c>
    </row>
    <row r="29" spans="1:4" x14ac:dyDescent="0.25">
      <c r="A29">
        <v>28</v>
      </c>
      <c r="B29">
        <v>27767.56</v>
      </c>
      <c r="C29">
        <v>23</v>
      </c>
      <c r="D29">
        <v>20250830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49E3-BD78-4687-B736-D5856CC7F4AE}">
  <dimension ref="A1:G31"/>
  <sheetViews>
    <sheetView workbookViewId="0">
      <selection sqref="A1:G31"/>
    </sheetView>
  </sheetViews>
  <sheetFormatPr defaultRowHeight="15" x14ac:dyDescent="0.25"/>
  <cols>
    <col min="1" max="1" width="7.7109375" bestFit="1" customWidth="1"/>
    <col min="2" max="2" width="12" bestFit="1" customWidth="1"/>
    <col min="3" max="3" width="10.85546875" bestFit="1" customWidth="1"/>
    <col min="4" max="4" width="16.140625" bestFit="1" customWidth="1"/>
    <col min="5" max="5" width="15.5703125" bestFit="1" customWidth="1"/>
    <col min="6" max="6" width="11.42578125" bestFit="1" customWidth="1"/>
    <col min="7" max="7" width="12.5703125" bestFit="1" customWidth="1"/>
  </cols>
  <sheetData>
    <row r="1" spans="1: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5">
      <c r="A2">
        <v>1</v>
      </c>
      <c r="B2">
        <v>11111111129</v>
      </c>
      <c r="C2" s="5" t="s">
        <v>15</v>
      </c>
      <c r="D2" s="5" t="s">
        <v>16</v>
      </c>
      <c r="E2" s="6">
        <v>46279.542147646607</v>
      </c>
      <c r="F2" s="5" t="s">
        <v>17</v>
      </c>
      <c r="G2" s="5" t="s">
        <v>18</v>
      </c>
    </row>
    <row r="3" spans="1:7" x14ac:dyDescent="0.25">
      <c r="A3">
        <v>2</v>
      </c>
      <c r="B3">
        <v>11111111130</v>
      </c>
      <c r="C3" s="5" t="s">
        <v>19</v>
      </c>
      <c r="D3" s="5" t="s">
        <v>20</v>
      </c>
      <c r="E3" s="6">
        <v>46279.542147646607</v>
      </c>
      <c r="F3" s="5" t="s">
        <v>17</v>
      </c>
      <c r="G3" s="5" t="s">
        <v>18</v>
      </c>
    </row>
    <row r="4" spans="1:7" x14ac:dyDescent="0.25">
      <c r="A4">
        <v>3</v>
      </c>
      <c r="B4">
        <v>11111111131</v>
      </c>
      <c r="C4" s="5" t="s">
        <v>21</v>
      </c>
      <c r="D4" s="5" t="s">
        <v>22</v>
      </c>
      <c r="E4" s="6">
        <v>46279.542147646607</v>
      </c>
      <c r="F4" s="5" t="s">
        <v>17</v>
      </c>
      <c r="G4" s="5" t="s">
        <v>18</v>
      </c>
    </row>
    <row r="5" spans="1:7" x14ac:dyDescent="0.25">
      <c r="A5">
        <v>4</v>
      </c>
      <c r="B5">
        <v>11111111132</v>
      </c>
      <c r="C5" s="5" t="s">
        <v>23</v>
      </c>
      <c r="D5" s="5" t="s">
        <v>24</v>
      </c>
      <c r="E5" s="6">
        <v>46279.542147646607</v>
      </c>
      <c r="F5" s="5" t="s">
        <v>17</v>
      </c>
      <c r="G5" s="5" t="s">
        <v>18</v>
      </c>
    </row>
    <row r="6" spans="1:7" x14ac:dyDescent="0.25">
      <c r="A6">
        <v>5</v>
      </c>
      <c r="B6">
        <v>11111111133</v>
      </c>
      <c r="C6" s="5" t="s">
        <v>25</v>
      </c>
      <c r="D6" s="5" t="s">
        <v>26</v>
      </c>
      <c r="E6" s="6">
        <v>46279.542147646607</v>
      </c>
      <c r="F6" s="5" t="s">
        <v>17</v>
      </c>
      <c r="G6" s="5" t="s">
        <v>18</v>
      </c>
    </row>
    <row r="7" spans="1:7" x14ac:dyDescent="0.25">
      <c r="A7">
        <v>6</v>
      </c>
      <c r="B7">
        <v>11111111134</v>
      </c>
      <c r="C7" s="5" t="s">
        <v>27</v>
      </c>
      <c r="D7" s="5" t="s">
        <v>28</v>
      </c>
      <c r="E7" s="6">
        <v>46279.542147646607</v>
      </c>
      <c r="F7" s="5" t="s">
        <v>17</v>
      </c>
      <c r="G7" s="5" t="s">
        <v>18</v>
      </c>
    </row>
    <row r="8" spans="1:7" x14ac:dyDescent="0.25">
      <c r="A8">
        <v>7</v>
      </c>
      <c r="B8">
        <v>11111111135</v>
      </c>
      <c r="C8" s="5" t="s">
        <v>29</v>
      </c>
      <c r="D8" s="5" t="s">
        <v>30</v>
      </c>
      <c r="E8" s="6">
        <v>46279.542147646607</v>
      </c>
      <c r="F8" s="5" t="s">
        <v>17</v>
      </c>
      <c r="G8" s="5" t="s">
        <v>18</v>
      </c>
    </row>
    <row r="9" spans="1:7" x14ac:dyDescent="0.25">
      <c r="A9">
        <v>8</v>
      </c>
      <c r="B9">
        <v>11111111136</v>
      </c>
      <c r="C9" s="5" t="s">
        <v>31</v>
      </c>
      <c r="D9" s="5" t="s">
        <v>32</v>
      </c>
      <c r="E9" s="6">
        <v>46279.542147646607</v>
      </c>
      <c r="F9" s="5" t="s">
        <v>17</v>
      </c>
      <c r="G9" s="5" t="s">
        <v>18</v>
      </c>
    </row>
    <row r="10" spans="1:7" x14ac:dyDescent="0.25">
      <c r="A10">
        <v>9</v>
      </c>
      <c r="B10">
        <v>11111111137</v>
      </c>
      <c r="C10" s="5" t="s">
        <v>33</v>
      </c>
      <c r="D10" s="5" t="s">
        <v>34</v>
      </c>
      <c r="E10" s="6">
        <v>46279.542147646607</v>
      </c>
      <c r="F10" s="5" t="s">
        <v>17</v>
      </c>
      <c r="G10" s="5" t="s">
        <v>18</v>
      </c>
    </row>
    <row r="11" spans="1:7" x14ac:dyDescent="0.25">
      <c r="A11">
        <v>10</v>
      </c>
      <c r="B11">
        <v>11111111138</v>
      </c>
      <c r="C11" s="5" t="s">
        <v>35</v>
      </c>
      <c r="D11" s="5" t="s">
        <v>36</v>
      </c>
      <c r="E11" s="6">
        <v>46279.542147646607</v>
      </c>
      <c r="F11" s="5" t="s">
        <v>17</v>
      </c>
      <c r="G11" s="5" t="s">
        <v>18</v>
      </c>
    </row>
    <row r="12" spans="1:7" x14ac:dyDescent="0.25">
      <c r="A12">
        <v>11</v>
      </c>
      <c r="B12">
        <v>11111111139</v>
      </c>
      <c r="C12" s="5" t="s">
        <v>37</v>
      </c>
      <c r="D12" s="5" t="s">
        <v>38</v>
      </c>
      <c r="E12" s="6">
        <v>46279.542147646607</v>
      </c>
      <c r="F12" s="5" t="s">
        <v>17</v>
      </c>
      <c r="G12" s="5" t="s">
        <v>18</v>
      </c>
    </row>
    <row r="13" spans="1:7" x14ac:dyDescent="0.25">
      <c r="A13">
        <v>12</v>
      </c>
      <c r="B13">
        <v>11111111140</v>
      </c>
      <c r="C13" s="5" t="s">
        <v>39</v>
      </c>
      <c r="D13" s="5" t="s">
        <v>40</v>
      </c>
      <c r="E13" s="6">
        <v>46279.542147646607</v>
      </c>
      <c r="F13" s="5" t="s">
        <v>17</v>
      </c>
      <c r="G13" s="5" t="s">
        <v>18</v>
      </c>
    </row>
    <row r="14" spans="1:7" x14ac:dyDescent="0.25">
      <c r="A14">
        <v>13</v>
      </c>
      <c r="B14">
        <v>11111111141</v>
      </c>
      <c r="C14" s="5" t="s">
        <v>41</v>
      </c>
      <c r="D14" s="5" t="s">
        <v>42</v>
      </c>
      <c r="E14" s="6">
        <v>46279.542147646607</v>
      </c>
      <c r="F14" s="5" t="s">
        <v>17</v>
      </c>
      <c r="G14" s="5" t="s">
        <v>18</v>
      </c>
    </row>
    <row r="15" spans="1:7" x14ac:dyDescent="0.25">
      <c r="A15">
        <v>14</v>
      </c>
      <c r="B15">
        <v>11111111142</v>
      </c>
      <c r="C15" s="5" t="s">
        <v>43</v>
      </c>
      <c r="D15" s="5" t="s">
        <v>44</v>
      </c>
      <c r="E15" s="6">
        <v>46279.542147646607</v>
      </c>
      <c r="F15" s="5" t="s">
        <v>17</v>
      </c>
      <c r="G15" s="5" t="s">
        <v>18</v>
      </c>
    </row>
    <row r="16" spans="1:7" x14ac:dyDescent="0.25">
      <c r="A16">
        <v>15</v>
      </c>
      <c r="B16">
        <v>11111111143</v>
      </c>
      <c r="C16" s="5" t="s">
        <v>45</v>
      </c>
      <c r="D16" s="5" t="s">
        <v>46</v>
      </c>
      <c r="E16" s="6">
        <v>46279.542147646607</v>
      </c>
      <c r="F16" s="5" t="s">
        <v>17</v>
      </c>
      <c r="G16" s="5" t="s">
        <v>18</v>
      </c>
    </row>
    <row r="17" spans="1:7" x14ac:dyDescent="0.25">
      <c r="A17">
        <v>16</v>
      </c>
      <c r="B17">
        <v>11111111144</v>
      </c>
      <c r="C17" s="5" t="s">
        <v>47</v>
      </c>
      <c r="D17" s="5" t="s">
        <v>48</v>
      </c>
      <c r="E17" s="6">
        <v>46279.542147646607</v>
      </c>
      <c r="F17" s="5" t="s">
        <v>17</v>
      </c>
      <c r="G17" s="5" t="s">
        <v>18</v>
      </c>
    </row>
    <row r="18" spans="1:7" x14ac:dyDescent="0.25">
      <c r="A18">
        <v>17</v>
      </c>
      <c r="B18">
        <v>11111111145</v>
      </c>
      <c r="C18" s="5" t="s">
        <v>49</v>
      </c>
      <c r="D18" s="5" t="s">
        <v>50</v>
      </c>
      <c r="E18" s="6">
        <v>46279.542147646607</v>
      </c>
      <c r="F18" s="5" t="s">
        <v>17</v>
      </c>
      <c r="G18" s="5" t="s">
        <v>18</v>
      </c>
    </row>
    <row r="19" spans="1:7" x14ac:dyDescent="0.25">
      <c r="A19">
        <v>18</v>
      </c>
      <c r="B19">
        <v>11111111146</v>
      </c>
      <c r="C19" s="5" t="s">
        <v>51</v>
      </c>
      <c r="D19" s="5" t="s">
        <v>52</v>
      </c>
      <c r="E19" s="6">
        <v>46279.542147646607</v>
      </c>
      <c r="F19" s="5" t="s">
        <v>17</v>
      </c>
      <c r="G19" s="5" t="s">
        <v>18</v>
      </c>
    </row>
    <row r="20" spans="1:7" x14ac:dyDescent="0.25">
      <c r="A20">
        <v>19</v>
      </c>
      <c r="B20">
        <v>11111111147</v>
      </c>
      <c r="C20" s="5" t="s">
        <v>53</v>
      </c>
      <c r="D20" s="5" t="s">
        <v>54</v>
      </c>
      <c r="E20" s="6">
        <v>46279.542147646607</v>
      </c>
      <c r="F20" s="5" t="s">
        <v>17</v>
      </c>
      <c r="G20" s="5" t="s">
        <v>18</v>
      </c>
    </row>
    <row r="21" spans="1:7" x14ac:dyDescent="0.25">
      <c r="A21">
        <v>20</v>
      </c>
      <c r="B21">
        <v>11111111148</v>
      </c>
      <c r="C21" s="5" t="s">
        <v>55</v>
      </c>
      <c r="D21" s="5" t="s">
        <v>56</v>
      </c>
      <c r="E21" s="6">
        <v>46279.542147646607</v>
      </c>
      <c r="F21" s="5" t="s">
        <v>17</v>
      </c>
      <c r="G21" s="5" t="s">
        <v>18</v>
      </c>
    </row>
    <row r="22" spans="1:7" x14ac:dyDescent="0.25">
      <c r="A22">
        <v>21</v>
      </c>
      <c r="B22">
        <v>11111111149</v>
      </c>
      <c r="C22" s="5" t="s">
        <v>57</v>
      </c>
      <c r="D22" s="5" t="s">
        <v>58</v>
      </c>
      <c r="E22" s="6">
        <v>46279.542147646607</v>
      </c>
      <c r="F22" s="5" t="s">
        <v>17</v>
      </c>
      <c r="G22" s="5" t="s">
        <v>18</v>
      </c>
    </row>
    <row r="23" spans="1:7" x14ac:dyDescent="0.25">
      <c r="A23">
        <v>22</v>
      </c>
      <c r="B23">
        <v>11111111150</v>
      </c>
      <c r="C23" s="5" t="s">
        <v>59</v>
      </c>
      <c r="D23" s="5" t="s">
        <v>60</v>
      </c>
      <c r="E23" s="6">
        <v>46279.542147646607</v>
      </c>
      <c r="F23" s="5" t="s">
        <v>17</v>
      </c>
      <c r="G23" s="5" t="s">
        <v>18</v>
      </c>
    </row>
    <row r="24" spans="1:7" x14ac:dyDescent="0.25">
      <c r="A24">
        <v>23</v>
      </c>
      <c r="B24">
        <v>11111111151</v>
      </c>
      <c r="C24" s="5" t="s">
        <v>61</v>
      </c>
      <c r="D24" s="5" t="s">
        <v>62</v>
      </c>
      <c r="E24" s="6">
        <v>46279.542147646607</v>
      </c>
      <c r="F24" s="5" t="s">
        <v>17</v>
      </c>
      <c r="G24" s="5" t="s">
        <v>18</v>
      </c>
    </row>
    <row r="25" spans="1:7" x14ac:dyDescent="0.25">
      <c r="A25">
        <v>24</v>
      </c>
      <c r="B25">
        <v>11111111152</v>
      </c>
      <c r="C25" s="5" t="s">
        <v>63</v>
      </c>
      <c r="D25" s="5" t="s">
        <v>64</v>
      </c>
      <c r="E25" s="6">
        <v>46279.542147646607</v>
      </c>
      <c r="F25" s="5" t="s">
        <v>17</v>
      </c>
      <c r="G25" s="5" t="s">
        <v>18</v>
      </c>
    </row>
    <row r="26" spans="1:7" x14ac:dyDescent="0.25">
      <c r="A26">
        <v>25</v>
      </c>
      <c r="B26">
        <v>11111111153</v>
      </c>
      <c r="C26" s="5" t="s">
        <v>65</v>
      </c>
      <c r="D26" s="5" t="s">
        <v>66</v>
      </c>
      <c r="E26" s="6">
        <v>46279.542147646607</v>
      </c>
      <c r="F26" s="5" t="s">
        <v>17</v>
      </c>
      <c r="G26" s="5" t="s">
        <v>18</v>
      </c>
    </row>
    <row r="27" spans="1:7" x14ac:dyDescent="0.25">
      <c r="A27">
        <v>26</v>
      </c>
      <c r="B27">
        <v>11111111154</v>
      </c>
      <c r="C27" s="5" t="s">
        <v>67</v>
      </c>
      <c r="D27" s="5" t="s">
        <v>68</v>
      </c>
      <c r="E27" s="6">
        <v>46279.542147646607</v>
      </c>
      <c r="F27" s="5" t="s">
        <v>17</v>
      </c>
      <c r="G27" s="5" t="s">
        <v>18</v>
      </c>
    </row>
    <row r="28" spans="1:7" x14ac:dyDescent="0.25">
      <c r="A28">
        <v>27</v>
      </c>
      <c r="B28">
        <v>11111111155</v>
      </c>
      <c r="C28" s="5" t="s">
        <v>69</v>
      </c>
      <c r="D28" s="5" t="s">
        <v>70</v>
      </c>
      <c r="E28" s="6">
        <v>46279.542147646607</v>
      </c>
      <c r="F28" s="5" t="s">
        <v>17</v>
      </c>
      <c r="G28" s="5" t="s">
        <v>18</v>
      </c>
    </row>
    <row r="29" spans="1:7" x14ac:dyDescent="0.25">
      <c r="A29">
        <v>28</v>
      </c>
      <c r="B29">
        <v>11111111156</v>
      </c>
      <c r="C29" s="5" t="s">
        <v>71</v>
      </c>
      <c r="D29" s="5" t="s">
        <v>72</v>
      </c>
      <c r="E29" s="6">
        <v>46279.542147646607</v>
      </c>
      <c r="F29" s="5" t="s">
        <v>17</v>
      </c>
      <c r="G29" s="5" t="s">
        <v>18</v>
      </c>
    </row>
    <row r="30" spans="1:7" x14ac:dyDescent="0.25">
      <c r="A30">
        <v>29</v>
      </c>
      <c r="B30">
        <v>11111111157</v>
      </c>
      <c r="C30" s="5" t="s">
        <v>73</v>
      </c>
      <c r="D30" s="5" t="s">
        <v>74</v>
      </c>
      <c r="E30" s="6">
        <v>46279.542147646607</v>
      </c>
      <c r="F30" s="5" t="s">
        <v>17</v>
      </c>
      <c r="G30" s="5" t="s">
        <v>18</v>
      </c>
    </row>
    <row r="31" spans="1:7" x14ac:dyDescent="0.25">
      <c r="A31">
        <v>30</v>
      </c>
      <c r="B31">
        <v>11111111158</v>
      </c>
      <c r="C31" s="5" t="s">
        <v>75</v>
      </c>
      <c r="D31" s="5" t="s">
        <v>76</v>
      </c>
      <c r="E31" s="6">
        <v>46279.542147646607</v>
      </c>
      <c r="F31" s="5" t="s">
        <v>17</v>
      </c>
      <c r="G31" s="5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Props1.xml><?xml version="1.0" encoding="utf-8"?>
<ds:datastoreItem xmlns:ds="http://schemas.openxmlformats.org/officeDocument/2006/customXml" ds:itemID="{EFB69D2B-398B-40A5-A755-6C42749875FA}">
  <ds:schemaRefs/>
</ds:datastoreItem>
</file>

<file path=customXml/itemProps2.xml><?xml version="1.0" encoding="utf-8"?>
<ds:datastoreItem xmlns:ds="http://schemas.openxmlformats.org/officeDocument/2006/customXml" ds:itemID="{B192E2DA-7D02-4DD7-8385-00436FBCC9F1}">
  <ds:schemaRefs/>
</ds:datastoreItem>
</file>

<file path=customXml/itemProps3.xml><?xml version="1.0" encoding="utf-8"?>
<ds:datastoreItem xmlns:ds="http://schemas.openxmlformats.org/officeDocument/2006/customXml" ds:itemID="{5E69E676-06C9-4C11-AD98-702CAFF1E1B2}">
  <ds:schemaRefs/>
</ds:datastoreItem>
</file>

<file path=customXml/itemProps4.xml><?xml version="1.0" encoding="utf-8"?>
<ds:datastoreItem xmlns:ds="http://schemas.openxmlformats.org/officeDocument/2006/customXml" ds:itemID="{D59DAB9E-AAD9-4B94-8478-C84FA802F995}">
  <ds:schemaRefs/>
</ds:datastoreItem>
</file>

<file path=customXml/itemProps5.xml><?xml version="1.0" encoding="utf-8"?>
<ds:datastoreItem xmlns:ds="http://schemas.openxmlformats.org/officeDocument/2006/customXml" ds:itemID="{B4FDDC4E-61BB-4DBF-86B9-24E443CA8935}">
  <ds:schemaRefs/>
</ds:datastoreItem>
</file>

<file path=customXml/itemProps6.xml><?xml version="1.0" encoding="utf-8"?>
<ds:datastoreItem xmlns:ds="http://schemas.openxmlformats.org/officeDocument/2006/customXml" ds:itemID="{CCAE4100-2CEF-4F6F-AFDF-6592F5F586E1}">
  <ds:schemaRefs/>
</ds:datastoreItem>
</file>

<file path=customXml/itemProps7.xml><?xml version="1.0" encoding="utf-8"?>
<ds:datastoreItem xmlns:ds="http://schemas.openxmlformats.org/officeDocument/2006/customXml" ds:itemID="{9B292551-99AB-443C-954D-54CEE239BA23}">
  <ds:schemaRefs/>
</ds:datastoreItem>
</file>

<file path=customXml/itemProps8.xml><?xml version="1.0" encoding="utf-8"?>
<ds:datastoreItem xmlns:ds="http://schemas.openxmlformats.org/officeDocument/2006/customXml" ds:itemID="{C1D1DCFE-675B-47AE-B68B-BFC4D357F636}">
  <ds:schemaRefs/>
</ds:datastoreItem>
</file>

<file path=customXml/itemProps9.xml><?xml version="1.0" encoding="utf-8"?>
<ds:datastoreItem xmlns:ds="http://schemas.openxmlformats.org/officeDocument/2006/customXml" ds:itemID="{25656952-5339-4FAC-B479-D92D08294D5D}">
  <ds:schemaRefs/>
</ds:datastoreItem>
</file>

<file path=customXml/itemProps10.xml><?xml version="1.0" encoding="utf-8"?>
<ds:datastoreItem xmlns:ds="http://schemas.openxmlformats.org/officeDocument/2006/customXml" ds:itemID="{5DFF009B-E920-4C4F-8F31-D354E77DBEFA}">
  <ds:schemaRefs/>
</ds:datastoreItem>
</file>

<file path=customXml/itemProps11.xml><?xml version="1.0" encoding="utf-8"?>
<ds:datastoreItem xmlns:ds="http://schemas.openxmlformats.org/officeDocument/2006/customXml" ds:itemID="{EB98F210-F60D-4ED4-A470-DD473AE6A9C0}">
  <ds:schemaRefs/>
</ds:datastoreItem>
</file>

<file path=customXml/itemProps12.xml><?xml version="1.0" encoding="utf-8"?>
<ds:datastoreItem xmlns:ds="http://schemas.openxmlformats.org/officeDocument/2006/customXml" ds:itemID="{2A36039E-0FE1-40AC-83DB-A7B87D43BE63}">
  <ds:schemaRefs/>
</ds:datastoreItem>
</file>

<file path=customXml/itemProps13.xml><?xml version="1.0" encoding="utf-8"?>
<ds:datastoreItem xmlns:ds="http://schemas.openxmlformats.org/officeDocument/2006/customXml" ds:itemID="{120EFEBF-DA12-4F1E-B4A4-92CFA1FA58F2}">
  <ds:schemaRefs/>
</ds:datastoreItem>
</file>

<file path=customXml/itemProps14.xml><?xml version="1.0" encoding="utf-8"?>
<ds:datastoreItem xmlns:ds="http://schemas.openxmlformats.org/officeDocument/2006/customXml" ds:itemID="{00BEE8B3-84CF-4E89-BE1E-626B1F46CAEF}">
  <ds:schemaRefs/>
</ds:datastoreItem>
</file>

<file path=customXml/itemProps15.xml><?xml version="1.0" encoding="utf-8"?>
<ds:datastoreItem xmlns:ds="http://schemas.openxmlformats.org/officeDocument/2006/customXml" ds:itemID="{573AABC6-889C-427A-AB5E-05278BEF6E8A}">
  <ds:schemaRefs/>
</ds:datastoreItem>
</file>

<file path=customXml/itemProps16.xml><?xml version="1.0" encoding="utf-8"?>
<ds:datastoreItem xmlns:ds="http://schemas.openxmlformats.org/officeDocument/2006/customXml" ds:itemID="{A820391B-DB05-409E-9D97-4B17F875402D}">
  <ds:schemaRefs/>
</ds:datastoreItem>
</file>

<file path=customXml/itemProps17.xml><?xml version="1.0" encoding="utf-8"?>
<ds:datastoreItem xmlns:ds="http://schemas.openxmlformats.org/officeDocument/2006/customXml" ds:itemID="{819C7B39-6638-4630-A6D0-2D997EDBEF1E}">
  <ds:schemaRefs/>
</ds:datastoreItem>
</file>

<file path=customXml/itemProps18.xml><?xml version="1.0" encoding="utf-8"?>
<ds:datastoreItem xmlns:ds="http://schemas.openxmlformats.org/officeDocument/2006/customXml" ds:itemID="{EFC8EC66-09D1-497E-9945-CE6FD3AB5EC6}">
  <ds:schemaRefs/>
</ds:datastoreItem>
</file>

<file path=customXml/itemProps19.xml><?xml version="1.0" encoding="utf-8"?>
<ds:datastoreItem xmlns:ds="http://schemas.openxmlformats.org/officeDocument/2006/customXml" ds:itemID="{6D223C6C-71D5-48CC-A650-3E5929E7586B}">
  <ds:schemaRefs/>
</ds:datastoreItem>
</file>

<file path=customXml/itemProps20.xml><?xml version="1.0" encoding="utf-8"?>
<ds:datastoreItem xmlns:ds="http://schemas.openxmlformats.org/officeDocument/2006/customXml" ds:itemID="{8F6A8FD3-6FD4-4BDC-A0EE-2CFB106B7682}">
  <ds:schemaRefs/>
</ds:datastoreItem>
</file>

<file path=customXml/itemProps21.xml><?xml version="1.0" encoding="utf-8"?>
<ds:datastoreItem xmlns:ds="http://schemas.openxmlformats.org/officeDocument/2006/customXml" ds:itemID="{283FD574-738F-4B14-BE66-72A6F1AA6091}">
  <ds:schemaRefs>
    <ds:schemaRef ds:uri="http://schemas.microsoft.com/DataMashup"/>
  </ds:schemaRefs>
</ds:datastoreItem>
</file>

<file path=customXml/itemProps22.xml><?xml version="1.0" encoding="utf-8"?>
<ds:datastoreItem xmlns:ds="http://schemas.openxmlformats.org/officeDocument/2006/customXml" ds:itemID="{4E9740C5-4EB9-490E-8893-57D8B4C9639B}">
  <ds:schemaRefs/>
</ds:datastoreItem>
</file>

<file path=customXml/itemProps23.xml><?xml version="1.0" encoding="utf-8"?>
<ds:datastoreItem xmlns:ds="http://schemas.openxmlformats.org/officeDocument/2006/customXml" ds:itemID="{F6D38997-7017-497E-A615-408DFCBDBC67}">
  <ds:schemaRefs/>
</ds:datastoreItem>
</file>

<file path=customXml/itemProps24.xml><?xml version="1.0" encoding="utf-8"?>
<ds:datastoreItem xmlns:ds="http://schemas.openxmlformats.org/officeDocument/2006/customXml" ds:itemID="{53646901-0472-4F2E-8428-BEF2BA23611C}">
  <ds:schemaRefs/>
</ds:datastoreItem>
</file>

<file path=customXml/itemProps25.xml><?xml version="1.0" encoding="utf-8"?>
<ds:datastoreItem xmlns:ds="http://schemas.openxmlformats.org/officeDocument/2006/customXml" ds:itemID="{926F5652-0F9B-4F94-8E35-BCA5E3297B95}">
  <ds:schemaRefs/>
</ds:datastoreItem>
</file>

<file path=customXml/itemProps26.xml><?xml version="1.0" encoding="utf-8"?>
<ds:datastoreItem xmlns:ds="http://schemas.openxmlformats.org/officeDocument/2006/customXml" ds:itemID="{F4E7A3B9-EA5F-4EF0-8745-3B1F00C564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Dashboard</vt:lpstr>
      <vt:lpstr>data_dimension</vt:lpstr>
      <vt:lpstr>corretor_dimension</vt:lpstr>
      <vt:lpstr>trans_venda_fact</vt:lpstr>
      <vt:lpstr>cliente_dimension</vt:lpstr>
      <vt:lpstr>corretor_dimension (2)</vt:lpstr>
      <vt:lpstr>imovel_dimension</vt:lpstr>
      <vt:lpstr>receita_agregada_fact</vt:lpstr>
      <vt:lpstr>cliente_dimension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fonseca</dc:creator>
  <cp:lastModifiedBy>nina fonseca</cp:lastModifiedBy>
  <dcterms:created xsi:type="dcterms:W3CDTF">2026-09-13T20:14:19Z</dcterms:created>
  <dcterms:modified xsi:type="dcterms:W3CDTF">2026-09-16T01:33:18Z</dcterms:modified>
</cp:coreProperties>
</file>